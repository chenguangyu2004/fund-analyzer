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假设区" sheetId="2" state="visible" r:id="rId2"/>
    <sheet xmlns:r="http://schemas.openxmlformats.org/officeDocument/2006/relationships" name="基金持仓" sheetId="3" state="visible" r:id="rId3"/>
    <sheet xmlns:r="http://schemas.openxmlformats.org/officeDocument/2006/relationships" name="M1_个股质量评分" sheetId="4" state="visible" r:id="rId4"/>
    <sheet xmlns:r="http://schemas.openxmlformats.org/officeDocument/2006/relationships" name="M2_估值评分" sheetId="5" state="visible" r:id="rId5"/>
    <sheet xmlns:r="http://schemas.openxmlformats.org/officeDocument/2006/relationships" name="M3_舆情评分" sheetId="6" state="visible" r:id="rId6"/>
    <sheet xmlns:r="http://schemas.openxmlformats.org/officeDocument/2006/relationships" name="M4_行业景气" sheetId="7" state="visible" r:id="rId7"/>
    <sheet xmlns:r="http://schemas.openxmlformats.org/officeDocument/2006/relationships" name="M5_经理行为" sheetId="8" state="visible" r:id="rId8"/>
    <sheet xmlns:r="http://schemas.openxmlformats.org/officeDocument/2006/relationships" name="动态权重" sheetId="9" state="visible" r:id="rId9"/>
    <sheet xmlns:r="http://schemas.openxmlformats.org/officeDocument/2006/relationships" name="综合输出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1F4E79"/>
      <sz val="16"/>
    </font>
    <font>
      <name val="Arial"/>
      <b val="1"/>
      <color rgb="00000000"/>
      <sz val="16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medium"/>
    </border>
    <border>
      <left style="thin"/>
      <right style="thin"/>
      <top style="thin"/>
      <bottom style="thin"/>
    </border>
    <border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164" fontId="5" fillId="0" borderId="2" pivotButton="0" quotePrefix="0" xfId="0"/>
    <xf numFmtId="2" fontId="5" fillId="0" borderId="2" pivotButton="0" quotePrefix="0" xfId="0"/>
    <xf numFmtId="0" fontId="3" fillId="2" borderId="2" pivotButton="0" quotePrefix="0" xfId="0"/>
    <xf numFmtId="164" fontId="5" fillId="2" borderId="2" pivotButton="0" quotePrefix="0" xfId="0"/>
    <xf numFmtId="165" fontId="5" fillId="2" borderId="2" pivotButton="0" quotePrefix="0" xfId="0"/>
    <xf numFmtId="0" fontId="5" fillId="2" borderId="2" pivotButton="0" quotePrefix="0" xfId="0"/>
    <xf numFmtId="0" fontId="6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4" fillId="0" borderId="3" pivotButton="0" quotePrefix="0" xfId="0"/>
    <xf numFmtId="164" fontId="4" fillId="0" borderId="3" pivotButton="0" quotePrefix="0" xfId="0"/>
    <xf numFmtId="0" fontId="7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0" fillId="0" borderId="3" pivotButton="0" quotePrefix="0" xfId="0"/>
    <xf numFmtId="165" fontId="4" fillId="0" borderId="3" pivotButton="0" quotePrefix="0" xfId="0"/>
    <xf numFmtId="2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" fontId="5" fillId="0" borderId="2" pivotButton="0" quotePrefix="0" xfId="0"/>
    <xf numFmtId="165" fontId="3" fillId="0" borderId="2" pivotButton="0" quotePrefix="0" xfId="0"/>
    <xf numFmtId="164" fontId="7" fillId="0" borderId="2" pivotButton="0" quotePrefix="0" xfId="0"/>
    <xf numFmtId="0" fontId="4" fillId="0" borderId="2" pivotButton="0" quotePrefix="0" xfId="0"/>
    <xf numFmtId="0" fontId="5" fillId="0" borderId="2" pivotButton="0" quotePrefix="0" xfId="0"/>
    <xf numFmtId="164" fontId="3" fillId="0" borderId="2" pivotButton="0" quotePrefix="0" xfId="0"/>
    <xf numFmtId="0" fontId="8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  <xf numFmtId="165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165" fontId="7" fillId="0" borderId="2" pivotButton="0" quotePrefix="0" xfId="0"/>
    <xf numFmtId="165" fontId="7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AI多因子透视诊断 — 金融模型 v2.0</t>
        </is>
      </c>
    </row>
    <row r="3">
      <c r="A3" s="2" t="inlineStr">
        <is>
          <t>模型概述</t>
        </is>
      </c>
      <c r="B3" s="3" t="inlineStr"/>
    </row>
    <row r="4">
      <c r="B4" s="3" t="inlineStr">
        <is>
          <t>本模型实现"AI多因子透视诊断"系统的完整Excel计算引擎，包含5套子模型并行打分 + 动态权重调整 + 综合输出。</t>
        </is>
      </c>
    </row>
    <row r="5">
      <c r="B5" s="3" t="inlineStr"/>
    </row>
    <row r="6">
      <c r="A6" s="2" t="inlineStr">
        <is>
          <t>颜色规范</t>
        </is>
      </c>
      <c r="B6" s="3" t="inlineStr"/>
    </row>
    <row r="7">
      <c r="B7" s="3" t="inlineStr">
        <is>
          <t>🔵 蓝色字体 = 硬编码输入值（用户可修改的假设/数据）</t>
        </is>
      </c>
    </row>
    <row r="8">
      <c r="B8" s="3" t="inlineStr">
        <is>
          <t>⚫ 黑色字体 = Excel 公式和计算</t>
        </is>
      </c>
    </row>
    <row r="9">
      <c r="B9" s="3" t="inlineStr">
        <is>
          <t>🟢 绿色字体 = 跨 Sheet 引用</t>
        </is>
      </c>
    </row>
    <row r="10">
      <c r="B10" s="3" t="inlineStr">
        <is>
          <t>🔴 红色字体 = 跨文件引用</t>
        </is>
      </c>
    </row>
    <row r="11">
      <c r="B11" s="3" t="inlineStr">
        <is>
          <t>🟡 黄色底色 = 需要关注的重要假设/需定期更新的单元格</t>
        </is>
      </c>
    </row>
    <row r="12">
      <c r="B12" s="3" t="inlineStr"/>
    </row>
    <row r="13">
      <c r="A13" s="2" t="inlineStr">
        <is>
          <t>Sheet 结构</t>
        </is>
      </c>
      <c r="B13" s="3" t="inlineStr"/>
    </row>
    <row r="14">
      <c r="B14" s="3" t="inlineStr">
        <is>
          <t>① 使用说明 — 本页</t>
        </is>
      </c>
    </row>
    <row r="15">
      <c r="B15" s="3" t="inlineStr">
        <is>
          <t>② 假设区 — 市场环境参数、行业基准数据、评分阈值</t>
        </is>
      </c>
    </row>
    <row r="16">
      <c r="B16" s="3" t="inlineStr">
        <is>
          <t>③ 基金持仓 — 重仓股明细（蓝色输入）</t>
        </is>
      </c>
    </row>
    <row r="17">
      <c r="B17" s="3" t="inlineStr">
        <is>
          <t>④ M1_个股质量评分 — 个股质量加权评分模型（权重25%）</t>
        </is>
      </c>
    </row>
    <row r="18">
      <c r="B18" s="3" t="inlineStr">
        <is>
          <t>⑤ M2_估值评分 — 估值性价比模型（权重25%）</t>
        </is>
      </c>
    </row>
    <row r="19">
      <c r="B19" s="3" t="inlineStr">
        <is>
          <t>⑥ M3_舆情评分 — 新闻舆情与动量模型（权重20%）</t>
        </is>
      </c>
    </row>
    <row r="20">
      <c r="B20" s="3" t="inlineStr">
        <is>
          <t>⑦ M4_行业景气 — 行业前景与宏观匹配模型（权重15%）</t>
        </is>
      </c>
    </row>
    <row r="21">
      <c r="B21" s="3" t="inlineStr">
        <is>
          <t>⑧ M5_经理行为 — 基金经理行为一致性模型（权重15%）</t>
        </is>
      </c>
    </row>
    <row r="22">
      <c r="B22" s="3" t="inlineStr">
        <is>
          <t>⑨ 动态权重 — 市场环境识别 + 动态权重调整引擎</t>
        </is>
      </c>
    </row>
    <row r="23">
      <c r="B23" s="3" t="inlineStr">
        <is>
          <t>⑩ 综合输出 — 仪表盘、综合评分、操作建议</t>
        </is>
      </c>
    </row>
    <row r="24">
      <c r="B24" s="3" t="inlineStr"/>
    </row>
    <row r="25">
      <c r="A25" s="2" t="inlineStr">
        <is>
          <t>使用方法</t>
        </is>
      </c>
      <c r="B25" s="3" t="inlineStr"/>
    </row>
    <row r="26">
      <c r="B26" s="3" t="inlineStr">
        <is>
          <t>1. 在「假设区」更新市场环境参数和行业基准数据</t>
        </is>
      </c>
    </row>
    <row r="27">
      <c r="B27" s="3" t="inlineStr">
        <is>
          <t>2. 在「基金持仓」填入待分析基金的持仓明细</t>
        </is>
      </c>
    </row>
    <row r="28">
      <c r="B28" s="3" t="inlineStr">
        <is>
          <t>3. 在 M1~M5 各 Sheet 填入每只股票/行业的蓝色输入数据</t>
        </is>
      </c>
    </row>
    <row r="29">
      <c r="B29" s="3" t="inlineStr">
        <is>
          <t>4. 模型自动计算各维度得分和综合评分</t>
        </is>
      </c>
    </row>
    <row r="30">
      <c r="B30" s="3" t="inlineStr">
        <is>
          <t>5. 在「综合输出」查看最终诊断结果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F00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市场环境参数（需定期更新）</t>
        </is>
      </c>
    </row>
    <row r="2">
      <c r="A2" s="4" t="inlineStr">
        <is>
          <t>参数名称</t>
        </is>
      </c>
      <c r="B2" s="4" t="inlineStr">
        <is>
          <t>当前值</t>
        </is>
      </c>
      <c r="C2" s="4" t="inlineStr">
        <is>
          <t>单位</t>
        </is>
      </c>
      <c r="D2" s="4" t="inlineStr">
        <is>
          <t>更新频率</t>
        </is>
      </c>
    </row>
    <row r="3">
      <c r="A3" s="5" t="inlineStr">
        <is>
          <t>沪深300 PE分位数</t>
        </is>
      </c>
      <c r="B3" s="6" t="n">
        <v>0.65</v>
      </c>
      <c r="C3" s="5" t="inlineStr">
        <is>
          <t>%</t>
        </is>
      </c>
      <c r="D3" s="5" t="inlineStr">
        <is>
          <t>日</t>
        </is>
      </c>
    </row>
    <row r="4">
      <c r="A4" s="5" t="inlineStr">
        <is>
          <t>沪深300 PE_TTM</t>
        </is>
      </c>
      <c r="B4" s="7" t="n">
        <v>14.82</v>
      </c>
      <c r="C4" s="5" t="inlineStr">
        <is>
          <t>倍</t>
        </is>
      </c>
      <c r="D4" s="5" t="inlineStr">
        <is>
          <t>日</t>
        </is>
      </c>
    </row>
    <row r="5">
      <c r="A5" s="5" t="inlineStr">
        <is>
          <t>10Y国债收益率</t>
        </is>
      </c>
      <c r="B5" s="6" t="n">
        <v>0.0285</v>
      </c>
      <c r="C5" s="5" t="inlineStr">
        <is>
          <t>%</t>
        </is>
      </c>
      <c r="D5" s="5" t="inlineStr">
        <is>
          <t>日</t>
        </is>
      </c>
    </row>
    <row r="6">
      <c r="A6" s="5" t="inlineStr">
        <is>
          <t>EPU指数分位数</t>
        </is>
      </c>
      <c r="B6" s="6" t="n">
        <v>0.55</v>
      </c>
      <c r="C6" s="5" t="inlineStr">
        <is>
          <t>%</t>
        </is>
      </c>
      <c r="D6" s="5" t="inlineStr">
        <is>
          <t>月</t>
        </is>
      </c>
    </row>
    <row r="7">
      <c r="A7" s="5" t="inlineStr">
        <is>
          <t>市场波动率分位数(60日)</t>
        </is>
      </c>
      <c r="B7" s="6" t="n">
        <v>0.5</v>
      </c>
      <c r="C7" s="5" t="inlineStr">
        <is>
          <t>%</t>
        </is>
      </c>
      <c r="D7" s="5" t="inlineStr">
        <is>
          <t>日</t>
        </is>
      </c>
    </row>
    <row r="8">
      <c r="A8" s="5" t="inlineStr">
        <is>
          <t>60日均线/200日均线比值</t>
        </is>
      </c>
      <c r="B8" s="7" t="n">
        <v>1.02</v>
      </c>
      <c r="C8" s="5" t="inlineStr">
        <is>
          <t>倍</t>
        </is>
      </c>
      <c r="D8" s="5" t="inlineStr">
        <is>
          <t>日</t>
        </is>
      </c>
    </row>
    <row r="9">
      <c r="A9" s="5" t="inlineStr">
        <is>
          <t>CPI YoY</t>
        </is>
      </c>
      <c r="B9" s="6" t="n">
        <v>0.008</v>
      </c>
      <c r="C9" s="5" t="inlineStr">
        <is>
          <t>%</t>
        </is>
      </c>
      <c r="D9" s="5" t="inlineStr">
        <is>
          <t>月</t>
        </is>
      </c>
    </row>
    <row r="10">
      <c r="A10" s="5" t="inlineStr">
        <is>
          <t>USDCNY</t>
        </is>
      </c>
      <c r="B10" s="7" t="n">
        <v>7.25</v>
      </c>
      <c r="C10" s="5" t="inlineStr"/>
      <c r="D10" s="5" t="inlineStr">
        <is>
          <t>日</t>
        </is>
      </c>
    </row>
    <row r="12">
      <c r="A12" s="2" t="inlineStr">
        <is>
          <t>模型默认权重</t>
        </is>
      </c>
    </row>
    <row r="13">
      <c r="A13" s="4" t="inlineStr">
        <is>
          <t>模型</t>
        </is>
      </c>
      <c r="B13" s="4" t="inlineStr">
        <is>
          <t>代号</t>
        </is>
      </c>
      <c r="C13" s="4" t="inlineStr">
        <is>
          <t>默认权重</t>
        </is>
      </c>
      <c r="D13" s="4" t="inlineStr">
        <is>
          <t>牛市权重</t>
        </is>
      </c>
      <c r="E13" s="4" t="inlineStr">
        <is>
          <t>熊市权重</t>
        </is>
      </c>
      <c r="F13" s="4" t="inlineStr">
        <is>
          <t>高不确定性权重</t>
        </is>
      </c>
    </row>
    <row r="14">
      <c r="A14" s="8" t="inlineStr">
        <is>
          <t>个股质量加权评分</t>
        </is>
      </c>
      <c r="B14" s="8" t="inlineStr">
        <is>
          <t>M1</t>
        </is>
      </c>
      <c r="C14" s="9" t="n">
        <v>0.25</v>
      </c>
      <c r="D14" s="9" t="n">
        <v>0.15</v>
      </c>
      <c r="E14" s="9" t="n">
        <v>0.3</v>
      </c>
      <c r="F14" s="9" t="n">
        <v>0.2</v>
      </c>
    </row>
    <row r="15">
      <c r="A15" s="8" t="inlineStr">
        <is>
          <t>估值性价比</t>
        </is>
      </c>
      <c r="B15" s="8" t="inlineStr">
        <is>
          <t>M2</t>
        </is>
      </c>
      <c r="C15" s="9" t="n">
        <v>0.25</v>
      </c>
      <c r="D15" s="9" t="n">
        <v>0.35</v>
      </c>
      <c r="E15" s="9" t="n">
        <v>0.2</v>
      </c>
      <c r="F15" s="9" t="n">
        <v>0.25</v>
      </c>
    </row>
    <row r="16">
      <c r="A16" s="8" t="inlineStr">
        <is>
          <t>新闻舆情与动量</t>
        </is>
      </c>
      <c r="B16" s="8" t="inlineStr">
        <is>
          <t>M3</t>
        </is>
      </c>
      <c r="C16" s="9" t="n">
        <v>0.2</v>
      </c>
      <c r="D16" s="9" t="n">
        <v>0.15</v>
      </c>
      <c r="E16" s="9" t="n">
        <v>0.15</v>
      </c>
      <c r="F16" s="9" t="n">
        <v>0.15</v>
      </c>
    </row>
    <row r="17">
      <c r="A17" s="8" t="inlineStr">
        <is>
          <t>行业前景与宏观匹配</t>
        </is>
      </c>
      <c r="B17" s="8" t="inlineStr">
        <is>
          <t>M4</t>
        </is>
      </c>
      <c r="C17" s="9" t="n">
        <v>0.15</v>
      </c>
      <c r="D17" s="9" t="n">
        <v>0.2</v>
      </c>
      <c r="E17" s="9" t="n">
        <v>0.2</v>
      </c>
      <c r="F17" s="9" t="n">
        <v>0.3</v>
      </c>
    </row>
    <row r="18">
      <c r="A18" s="8" t="inlineStr">
        <is>
          <t>基金经理行为一致性</t>
        </is>
      </c>
      <c r="B18" s="8" t="inlineStr">
        <is>
          <t>M5</t>
        </is>
      </c>
      <c r="C18" s="9" t="n">
        <v>0.15</v>
      </c>
      <c r="D18" s="9" t="n">
        <v>0.15</v>
      </c>
      <c r="E18" s="9" t="n">
        <v>0.15</v>
      </c>
      <c r="F18" s="9" t="n">
        <v>0.1</v>
      </c>
    </row>
    <row r="20">
      <c r="A20" s="2" t="inlineStr">
        <is>
          <t>行业基准数据（申万一级，2025年报）</t>
        </is>
      </c>
    </row>
    <row r="21">
      <c r="A21" s="4" t="inlineStr">
        <is>
          <t>行业名称</t>
        </is>
      </c>
      <c r="B21" s="4" t="inlineStr">
        <is>
          <t>ROE中位数</t>
        </is>
      </c>
      <c r="C21" s="4" t="inlineStr">
        <is>
          <t>毛利率中位数</t>
        </is>
      </c>
      <c r="D21" s="4" t="inlineStr">
        <is>
          <t>资产负债率中位数</t>
        </is>
      </c>
      <c r="E21" s="4" t="inlineStr">
        <is>
          <t>PE中位数</t>
        </is>
      </c>
    </row>
    <row r="22">
      <c r="A22" s="8" t="inlineStr">
        <is>
          <t>食品饮料</t>
        </is>
      </c>
      <c r="B22" s="9" t="n">
        <v>0.158</v>
      </c>
      <c r="C22" s="9" t="n">
        <v>0.486</v>
      </c>
      <c r="D22" s="9" t="n">
        <v>0.321</v>
      </c>
      <c r="E22" s="10" t="n">
        <v>25.3</v>
      </c>
    </row>
    <row r="23">
      <c r="A23" s="8" t="inlineStr">
        <is>
          <t>医药生物</t>
        </is>
      </c>
      <c r="B23" s="9" t="n">
        <v>0.082</v>
      </c>
      <c r="C23" s="9" t="n">
        <v>0.523</v>
      </c>
      <c r="D23" s="9" t="n">
        <v>0.317</v>
      </c>
      <c r="E23" s="10" t="n">
        <v>32.5</v>
      </c>
    </row>
    <row r="24">
      <c r="A24" s="8" t="inlineStr">
        <is>
          <t>电子</t>
        </is>
      </c>
      <c r="B24" s="9" t="n">
        <v>0.065</v>
      </c>
      <c r="C24" s="9" t="n">
        <v>0.248</v>
      </c>
      <c r="D24" s="9" t="n">
        <v>0.382</v>
      </c>
      <c r="E24" s="10" t="n">
        <v>35.1</v>
      </c>
    </row>
    <row r="25">
      <c r="A25" s="8" t="inlineStr">
        <is>
          <t>电力设备</t>
        </is>
      </c>
      <c r="B25" s="9" t="n">
        <v>0.091</v>
      </c>
      <c r="C25" s="9" t="n">
        <v>0.224</v>
      </c>
      <c r="D25" s="9" t="n">
        <v>0.526</v>
      </c>
      <c r="E25" s="10" t="n">
        <v>22.8</v>
      </c>
    </row>
    <row r="26">
      <c r="A26" s="8" t="inlineStr">
        <is>
          <t>银行</t>
        </is>
      </c>
      <c r="B26" s="9" t="n">
        <v>0.105</v>
      </c>
      <c r="C26" s="11" t="inlineStr">
        <is>
          <t>N/A</t>
        </is>
      </c>
      <c r="D26" s="9" t="n">
        <v>0.915</v>
      </c>
      <c r="E26" s="10" t="n">
        <v>5.8</v>
      </c>
    </row>
    <row r="27">
      <c r="A27" s="8" t="inlineStr">
        <is>
          <t>计算机</t>
        </is>
      </c>
      <c r="B27" s="9" t="n">
        <v>0.048</v>
      </c>
      <c r="C27" s="9" t="n">
        <v>0.356</v>
      </c>
      <c r="D27" s="9" t="n">
        <v>0.321</v>
      </c>
      <c r="E27" s="10" t="n">
        <v>48.2</v>
      </c>
    </row>
    <row r="30">
      <c r="A30" s="2" t="inlineStr">
        <is>
          <t>综合评分等级阈值</t>
        </is>
      </c>
    </row>
    <row r="31">
      <c r="A31" s="4" t="inlineStr">
        <is>
          <t>评分区间</t>
        </is>
      </c>
      <c r="B31" s="4" t="inlineStr">
        <is>
          <t>等级</t>
        </is>
      </c>
      <c r="C31" s="4" t="inlineStr">
        <is>
          <t>操作建议基调</t>
        </is>
      </c>
    </row>
    <row r="32">
      <c r="A32" s="6" t="n">
        <v>0.8</v>
      </c>
      <c r="B32" s="5" t="inlineStr">
        <is>
          <t>优秀 ⭐⭐⭐⭐⭐</t>
        </is>
      </c>
      <c r="C32" s="5" t="inlineStr">
        <is>
          <t>适合作为核心配置</t>
        </is>
      </c>
    </row>
    <row r="33">
      <c r="A33" s="6" t="n">
        <v>0.7</v>
      </c>
      <c r="B33" s="5" t="inlineStr">
        <is>
          <t>良好 ⭐⭐⭐⭐</t>
        </is>
      </c>
      <c r="C33" s="5" t="inlineStr">
        <is>
          <t>可持有，关注风险点</t>
        </is>
      </c>
    </row>
    <row r="34">
      <c r="A34" s="6" t="n">
        <v>0.55</v>
      </c>
      <c r="B34" s="5" t="inlineStr">
        <is>
          <t>一般 ⭐⭐⭐</t>
        </is>
      </c>
      <c r="C34" s="5" t="inlineStr">
        <is>
          <t>观望，等待更好时机</t>
        </is>
      </c>
    </row>
    <row r="35">
      <c r="A35" s="6" t="n">
        <v>0.4</v>
      </c>
      <c r="B35" s="5" t="inlineStr">
        <is>
          <t>较低 ⭐⭐</t>
        </is>
      </c>
      <c r="C35" s="5" t="inlineStr">
        <is>
          <t>建议减仓或寻找替代品</t>
        </is>
      </c>
    </row>
    <row r="36">
      <c r="A36" s="6" t="n">
        <v>0</v>
      </c>
      <c r="B36" s="5" t="inlineStr">
        <is>
          <t>差 ⭐</t>
        </is>
      </c>
      <c r="C36" s="5" t="inlineStr">
        <is>
          <t>强烈建议回避</t>
        </is>
      </c>
    </row>
  </sheetData>
  <mergeCells count="4">
    <mergeCell ref="A20:F20"/>
    <mergeCell ref="A30:F30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  <col width="16" customWidth="1" min="7" max="7"/>
  </cols>
  <sheetData>
    <row r="1">
      <c r="A1" s="2" t="inlineStr">
        <is>
          <t>基金持仓明细（蓝色 = 需手动输入）</t>
        </is>
      </c>
    </row>
    <row r="2">
      <c r="A2" s="12" t="inlineStr">
        <is>
          <t>股票代码</t>
        </is>
      </c>
      <c r="B2" s="12" t="inlineStr">
        <is>
          <t>股票名称</t>
        </is>
      </c>
      <c r="C2" s="12" t="inlineStr">
        <is>
          <t>占净值比例</t>
        </is>
      </c>
      <c r="D2" s="12" t="inlineStr">
        <is>
          <t>所属行业</t>
        </is>
      </c>
      <c r="E2" s="12" t="inlineStr">
        <is>
          <t>近季度仓位变化</t>
        </is>
      </c>
      <c r="F2" s="12" t="inlineStr">
        <is>
          <t>归一化权重(分析池)</t>
        </is>
      </c>
      <c r="G2" s="12" t="inlineStr">
        <is>
          <t>占分析池权重</t>
        </is>
      </c>
    </row>
    <row r="3">
      <c r="A3" s="13" t="inlineStr">
        <is>
          <t>600519</t>
        </is>
      </c>
      <c r="B3" s="13" t="inlineStr">
        <is>
          <t>贵州茅台</t>
        </is>
      </c>
      <c r="C3" s="14" t="n">
        <v>0.082</v>
      </c>
      <c r="D3" s="13" t="inlineStr">
        <is>
          <t>食品饮料</t>
        </is>
      </c>
      <c r="E3" s="14" t="n">
        <v>0.005</v>
      </c>
      <c r="F3" s="15">
        <f>C3/SUM(C3:C12)</f>
        <v/>
      </c>
      <c r="G3" s="15">
        <f>F3</f>
        <v/>
      </c>
    </row>
    <row r="4">
      <c r="A4" s="13" t="inlineStr">
        <is>
          <t>300750</t>
        </is>
      </c>
      <c r="B4" s="13" t="inlineStr">
        <is>
          <t>宁德时代</t>
        </is>
      </c>
      <c r="C4" s="14" t="n">
        <v>0.065</v>
      </c>
      <c r="D4" s="13" t="inlineStr">
        <is>
          <t>电力设备</t>
        </is>
      </c>
      <c r="E4" s="14" t="n">
        <v>-0.012</v>
      </c>
      <c r="F4" s="15">
        <f>C4/SUM(C3:C12)</f>
        <v/>
      </c>
      <c r="G4" s="15">
        <f>F4</f>
        <v/>
      </c>
    </row>
    <row r="5">
      <c r="A5" s="13" t="inlineStr">
        <is>
          <t>600036</t>
        </is>
      </c>
      <c r="B5" s="13" t="inlineStr">
        <is>
          <t>招商银行</t>
        </is>
      </c>
      <c r="C5" s="14" t="n">
        <v>0.058</v>
      </c>
      <c r="D5" s="13" t="inlineStr">
        <is>
          <t>银行</t>
        </is>
      </c>
      <c r="E5" s="14" t="n">
        <v>0.008</v>
      </c>
      <c r="F5" s="15">
        <f>C5/SUM(C3:C12)</f>
        <v/>
      </c>
      <c r="G5" s="15">
        <f>F5</f>
        <v/>
      </c>
    </row>
    <row r="6">
      <c r="A6" s="13" t="inlineStr">
        <is>
          <t>300760</t>
        </is>
      </c>
      <c r="B6" s="13" t="inlineStr">
        <is>
          <t>迈瑞医疗</t>
        </is>
      </c>
      <c r="C6" s="14" t="n">
        <v>0.049</v>
      </c>
      <c r="D6" s="13" t="inlineStr">
        <is>
          <t>医药生物</t>
        </is>
      </c>
      <c r="E6" s="14" t="n">
        <v>0.003</v>
      </c>
      <c r="F6" s="15">
        <f>C6/SUM(C3:C12)</f>
        <v/>
      </c>
      <c r="G6" s="15">
        <f>F6</f>
        <v/>
      </c>
    </row>
    <row r="7">
      <c r="A7" s="13" t="inlineStr">
        <is>
          <t>002475</t>
        </is>
      </c>
      <c r="B7" s="13" t="inlineStr">
        <is>
          <t>立讯精密</t>
        </is>
      </c>
      <c r="C7" s="14" t="n">
        <v>0.045</v>
      </c>
      <c r="D7" s="13" t="inlineStr">
        <is>
          <t>电子</t>
        </is>
      </c>
      <c r="E7" s="14" t="n">
        <v>-0.005</v>
      </c>
      <c r="F7" s="15">
        <f>C7/SUM(C3:C12)</f>
        <v/>
      </c>
      <c r="G7" s="15">
        <f>F7</f>
        <v/>
      </c>
    </row>
    <row r="8">
      <c r="A8" s="13" t="inlineStr">
        <is>
          <t>000858</t>
        </is>
      </c>
      <c r="B8" s="13" t="inlineStr">
        <is>
          <t>五粮液</t>
        </is>
      </c>
      <c r="C8" s="14" t="n">
        <v>0.038</v>
      </c>
      <c r="D8" s="13" t="inlineStr">
        <is>
          <t>食品饮料</t>
        </is>
      </c>
      <c r="E8" s="14" t="n">
        <v>-0.01</v>
      </c>
      <c r="F8" s="15">
        <f>C8/SUM(C3:C12)</f>
        <v/>
      </c>
      <c r="G8" s="15">
        <f>F8</f>
        <v/>
      </c>
    </row>
    <row r="9">
      <c r="A9" s="13" t="inlineStr">
        <is>
          <t>600276</t>
        </is>
      </c>
      <c r="B9" s="13" t="inlineStr">
        <is>
          <t>恒瑞医药</t>
        </is>
      </c>
      <c r="C9" s="14" t="n">
        <v>0.032</v>
      </c>
      <c r="D9" s="13" t="inlineStr">
        <is>
          <t>医药生物</t>
        </is>
      </c>
      <c r="E9" s="14" t="n">
        <v>0.015</v>
      </c>
      <c r="F9" s="15">
        <f>C9/SUM(C3:C12)</f>
        <v/>
      </c>
      <c r="G9" s="15">
        <f>F9</f>
        <v/>
      </c>
    </row>
    <row r="10">
      <c r="A10" s="13" t="inlineStr">
        <is>
          <t>688111</t>
        </is>
      </c>
      <c r="B10" s="13" t="inlineStr">
        <is>
          <t>金山办公</t>
        </is>
      </c>
      <c r="C10" s="14" t="n">
        <v>0.029</v>
      </c>
      <c r="D10" s="13" t="inlineStr">
        <is>
          <t>计算机</t>
        </is>
      </c>
      <c r="E10" s="14" t="n">
        <v>0.02</v>
      </c>
      <c r="F10" s="15">
        <f>C10/SUM(C3:C12)</f>
        <v/>
      </c>
      <c r="G10" s="15">
        <f>F10</f>
        <v/>
      </c>
    </row>
    <row r="11">
      <c r="A11" s="13" t="inlineStr">
        <is>
          <t>300274</t>
        </is>
      </c>
      <c r="B11" s="13" t="inlineStr">
        <is>
          <t>阳光电源</t>
        </is>
      </c>
      <c r="C11" s="14" t="n">
        <v>0.026</v>
      </c>
      <c r="D11" s="13" t="inlineStr">
        <is>
          <t>电力设备</t>
        </is>
      </c>
      <c r="E11" s="14" t="n">
        <v>-0.008</v>
      </c>
      <c r="F11" s="15">
        <f>C11/SUM(C3:C12)</f>
        <v/>
      </c>
      <c r="G11" s="15">
        <f>F11</f>
        <v/>
      </c>
    </row>
    <row r="12">
      <c r="A12" s="13" t="inlineStr">
        <is>
          <t>002415</t>
        </is>
      </c>
      <c r="B12" s="13" t="inlineStr">
        <is>
          <t>海康威视</t>
        </is>
      </c>
      <c r="C12" s="14" t="n">
        <v>0.023</v>
      </c>
      <c r="D12" s="13" t="inlineStr">
        <is>
          <t>电子</t>
        </is>
      </c>
      <c r="E12" s="14" t="n">
        <v>0.002</v>
      </c>
      <c r="F12" s="15">
        <f>C12/SUM(C3:C12)</f>
        <v/>
      </c>
      <c r="G12" s="15">
        <f>F12</f>
        <v/>
      </c>
    </row>
    <row r="13">
      <c r="A13" s="16" t="n"/>
      <c r="B13" s="16" t="inlineStr">
        <is>
          <t>合计</t>
        </is>
      </c>
      <c r="C13" s="17">
        <f>SUM(C3:C12)</f>
        <v/>
      </c>
      <c r="D13" s="16" t="n"/>
      <c r="E13" s="16" t="n"/>
      <c r="F13" s="17">
        <f>SUM(F3:F12)</f>
        <v/>
      </c>
      <c r="G13" s="16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</cols>
  <sheetData>
    <row r="1">
      <c r="A1" s="2" t="inlineStr">
        <is>
          <t>模型1：个股质量加权评分（默认权重25%）</t>
        </is>
      </c>
    </row>
    <row r="2">
      <c r="A2" s="12" t="inlineStr">
        <is>
          <t>代码</t>
        </is>
      </c>
      <c r="B2" s="12" t="inlineStr">
        <is>
          <t>名称</t>
        </is>
      </c>
      <c r="C2" s="12" t="inlineStr">
        <is>
          <t>权重</t>
        </is>
      </c>
      <c r="D2" s="12" t="inlineStr">
        <is>
          <t>行业</t>
        </is>
      </c>
      <c r="E2" s="12" t="inlineStr">
        <is>
          <t>ROE</t>
        </is>
      </c>
      <c r="F2" s="12" t="inlineStr">
        <is>
          <t>ROE得分</t>
        </is>
      </c>
      <c r="G2" s="12" t="inlineStr">
        <is>
          <t>毛利率</t>
        </is>
      </c>
      <c r="H2" s="12" t="inlineStr">
        <is>
          <t>行业毛利率中位数</t>
        </is>
      </c>
      <c r="I2" s="12" t="inlineStr">
        <is>
          <t>毛利率得分</t>
        </is>
      </c>
      <c r="J2" s="12" t="inlineStr">
        <is>
          <t>净利增速</t>
        </is>
      </c>
      <c r="K2" s="12" t="inlineStr">
        <is>
          <t>净利增速得分</t>
        </is>
      </c>
      <c r="L2" s="12" t="inlineStr">
        <is>
          <t>营收增速</t>
        </is>
      </c>
      <c r="M2" s="12" t="inlineStr">
        <is>
          <t>营收增速得分</t>
        </is>
      </c>
      <c r="N2" s="12" t="inlineStr">
        <is>
          <t>OCF/NI</t>
        </is>
      </c>
      <c r="O2" s="12" t="inlineStr">
        <is>
          <t>OCF得分</t>
        </is>
      </c>
      <c r="P2" s="12" t="inlineStr">
        <is>
          <t>FCF/Rev</t>
        </is>
      </c>
      <c r="Q2" s="12" t="inlineStr">
        <is>
          <t>FCF得分</t>
        </is>
      </c>
      <c r="R2" s="12" t="inlineStr">
        <is>
          <t>资产负债率</t>
        </is>
      </c>
      <c r="S2" s="12" t="inlineStr">
        <is>
          <t>行业负债率中位数</t>
        </is>
      </c>
      <c r="T2" s="12" t="inlineStr">
        <is>
          <t>负债率得分</t>
        </is>
      </c>
      <c r="U2" s="12" t="inlineStr">
        <is>
          <t>速动比率</t>
        </is>
      </c>
      <c r="V2" s="12" t="inlineStr">
        <is>
          <t>速动比率得分</t>
        </is>
      </c>
      <c r="W2" s="12" t="inlineStr">
        <is>
          <t>盈利能力</t>
        </is>
      </c>
      <c r="X2" s="12" t="inlineStr">
        <is>
          <t>成长性</t>
        </is>
      </c>
      <c r="Y2" s="12" t="inlineStr">
        <is>
          <t>现金流</t>
        </is>
      </c>
      <c r="Z2" s="12" t="inlineStr">
        <is>
          <t>安全性</t>
        </is>
      </c>
      <c r="AA2" s="12" t="inlineStr">
        <is>
          <t>个股质量总分</t>
        </is>
      </c>
      <c r="AB2" s="12" t="inlineStr">
        <is>
          <t>加权贡献</t>
        </is>
      </c>
    </row>
    <row r="3">
      <c r="A3" s="18">
        <f>'基金持仓'!A3</f>
        <v/>
      </c>
      <c r="B3" s="18">
        <f>'基金持仓'!B3</f>
        <v/>
      </c>
      <c r="C3" s="15">
        <f>'基金持仓'!F3</f>
        <v/>
      </c>
      <c r="D3" s="18">
        <f>'基金持仓'!D3</f>
        <v/>
      </c>
      <c r="E3" s="14" t="n">
        <v>0.32</v>
      </c>
      <c r="F3" s="19">
        <f>IF(E3&gt;=0.25,100,IF(E3&gt;=0.2,90,IF(E3&gt;=0.15,75,IF(E3&gt;=0.1,55,IF(E3&gt;=0.05,35,IF(E3&gt;=0,20,5))))))</f>
        <v/>
      </c>
      <c r="G3" s="14" t="n">
        <v>0.918</v>
      </c>
      <c r="H3" s="15">
        <f>IFERROR(VLOOKUP(D3,假设区!A22:C27,3,FALSE),"N/A")</f>
        <v/>
      </c>
      <c r="I3" s="19">
        <f>IF(OR(G3="N/A",H3="N/A"),50,MIN(100,MAX(0,50+50*(G3-H3)/0.15)))</f>
        <v/>
      </c>
      <c r="J3" s="14" t="n">
        <v>0.18</v>
      </c>
      <c r="K3" s="19">
        <f>IF(J3&gt;=0.5,100,IF(J3&gt;=0.3,85,IF(J3&gt;=0.15,70,IF(J3&gt;=0.05,50,IF(J3&gt;=0,30,IF(J3&gt;=-0.1,15,5))))))</f>
        <v/>
      </c>
      <c r="L3" s="14" t="n">
        <v>0.16</v>
      </c>
      <c r="M3" s="19">
        <f>IF(L3&gt;=0.3,100,IF(L3&gt;=0.2,85,IF(L3&gt;=0.1,65,IF(L3&gt;=0.05,45,IF(L3&gt;=0,25,10)))))</f>
        <v/>
      </c>
      <c r="N3" s="20" t="n">
        <v>1.15</v>
      </c>
      <c r="O3" s="19">
        <f>IF(N3="N/A",50,IF(N3&gt;=1.5,100,IF(N3&gt;=0.5,60+40*(N3-0.5)/1.0,IF(N3&gt;=0,60*N3/0.5,10))))</f>
        <v/>
      </c>
      <c r="P3" s="14" t="n">
        <v>0.42</v>
      </c>
      <c r="Q3" s="19">
        <f>IF(P3="N/A",50,IF(P3&gt;=0.15,100,IF(P3&gt;=0.1,85,IF(P3&gt;=0.05,65,IF(P3&gt;=0,40,15)))))</f>
        <v/>
      </c>
      <c r="R3" s="14" t="n">
        <v>0.19</v>
      </c>
      <c r="S3" s="15">
        <f>IFERROR(VLOOKUP(D3,假设区!A22:D27,4,FALSE),"N/A")</f>
        <v/>
      </c>
      <c r="T3" s="19">
        <f>IF(OR(R3="N/A",S3="N/A"),50,MAX(0,MIN(100,100-80*R3/(S3*1.3))))</f>
        <v/>
      </c>
      <c r="U3" s="21" t="n">
        <v>2.8</v>
      </c>
      <c r="V3" s="19">
        <f>IF(U3="N/A",50,IF(U3&gt;=1.5,100,IF(U3&gt;=1,80,IF(U3&gt;=0.7,55,IF(U3&gt;=0.4,30,10)))))</f>
        <v/>
      </c>
      <c r="W3" s="19">
        <f>0.6*F3+0.4*I3</f>
        <v/>
      </c>
      <c r="X3" s="19">
        <f>0.55*K3+0.45*M3</f>
        <v/>
      </c>
      <c r="Y3" s="19">
        <f>0.6*O3+0.4*Q3</f>
        <v/>
      </c>
      <c r="Z3" s="19">
        <f>0.6*T3+0.4*V3</f>
        <v/>
      </c>
      <c r="AA3" s="19">
        <f>0.3*W3+0.25*X3+0.25*Y3+0.2*Z3</f>
        <v/>
      </c>
      <c r="AB3" s="19">
        <f>C3*AA3</f>
        <v/>
      </c>
    </row>
    <row r="4">
      <c r="A4" s="18">
        <f>'基金持仓'!A4</f>
        <v/>
      </c>
      <c r="B4" s="18">
        <f>'基金持仓'!B4</f>
        <v/>
      </c>
      <c r="C4" s="15">
        <f>'基金持仓'!F4</f>
        <v/>
      </c>
      <c r="D4" s="18">
        <f>'基金持仓'!D4</f>
        <v/>
      </c>
      <c r="E4" s="14" t="n">
        <v>0.22</v>
      </c>
      <c r="F4" s="19">
        <f>IF(E4&gt;=0.25,100,IF(E4&gt;=0.2,90,IF(E4&gt;=0.15,75,IF(E4&gt;=0.1,55,IF(E4&gt;=0.05,35,IF(E4&gt;=0,20,5))))))</f>
        <v/>
      </c>
      <c r="G4" s="14" t="n">
        <v>0.26</v>
      </c>
      <c r="H4" s="15">
        <f>IFERROR(VLOOKUP(D4,假设区!A22:C27,3,FALSE),"N/A")</f>
        <v/>
      </c>
      <c r="I4" s="19">
        <f>IF(OR(G4="N/A",H4="N/A"),50,MIN(100,MAX(0,50+50*(G4-H4)/0.15)))</f>
        <v/>
      </c>
      <c r="J4" s="14" t="n">
        <v>0.35</v>
      </c>
      <c r="K4" s="19">
        <f>IF(J4&gt;=0.5,100,IF(J4&gt;=0.3,85,IF(J4&gt;=0.15,70,IF(J4&gt;=0.05,50,IF(J4&gt;=0,30,IF(J4&gt;=-0.1,15,5))))))</f>
        <v/>
      </c>
      <c r="L4" s="14" t="n">
        <v>0.45</v>
      </c>
      <c r="M4" s="19">
        <f>IF(L4&gt;=0.3,100,IF(L4&gt;=0.2,85,IF(L4&gt;=0.1,65,IF(L4&gt;=0.05,45,IF(L4&gt;=0,25,10)))))</f>
        <v/>
      </c>
      <c r="N4" s="20" t="n">
        <v>0.85</v>
      </c>
      <c r="O4" s="19">
        <f>IF(N4="N/A",50,IF(N4&gt;=1.5,100,IF(N4&gt;=0.5,60+40*(N4-0.5)/1.0,IF(N4&gt;=0,60*N4/0.5,10))))</f>
        <v/>
      </c>
      <c r="P4" s="14" t="n">
        <v>0.06</v>
      </c>
      <c r="Q4" s="19">
        <f>IF(P4="N/A",50,IF(P4&gt;=0.15,100,IF(P4&gt;=0.1,85,IF(P4&gt;=0.05,65,IF(P4&gt;=0,40,15)))))</f>
        <v/>
      </c>
      <c r="R4" s="14" t="n">
        <v>0.62</v>
      </c>
      <c r="S4" s="15">
        <f>IFERROR(VLOOKUP(D4,假设区!A22:D27,4,FALSE),"N/A")</f>
        <v/>
      </c>
      <c r="T4" s="19">
        <f>IF(OR(R4="N/A",S4="N/A"),50,MAX(0,MIN(100,100-80*R4/(S4*1.3))))</f>
        <v/>
      </c>
      <c r="U4" s="21" t="n">
        <v>1.1</v>
      </c>
      <c r="V4" s="19">
        <f>IF(U4="N/A",50,IF(U4&gt;=1.5,100,IF(U4&gt;=1,80,IF(U4&gt;=0.7,55,IF(U4&gt;=0.4,30,10)))))</f>
        <v/>
      </c>
      <c r="W4" s="19">
        <f>0.6*F4+0.4*I4</f>
        <v/>
      </c>
      <c r="X4" s="19">
        <f>0.55*K4+0.45*M4</f>
        <v/>
      </c>
      <c r="Y4" s="19">
        <f>0.6*O4+0.4*Q4</f>
        <v/>
      </c>
      <c r="Z4" s="19">
        <f>0.6*T4+0.4*V4</f>
        <v/>
      </c>
      <c r="AA4" s="19">
        <f>0.3*W4+0.25*X4+0.25*Y4+0.2*Z4</f>
        <v/>
      </c>
      <c r="AB4" s="19">
        <f>C4*AA4</f>
        <v/>
      </c>
    </row>
    <row r="5">
      <c r="A5" s="18">
        <f>'基金持仓'!A5</f>
        <v/>
      </c>
      <c r="B5" s="18">
        <f>'基金持仓'!B5</f>
        <v/>
      </c>
      <c r="C5" s="15">
        <f>'基金持仓'!F5</f>
        <v/>
      </c>
      <c r="D5" s="18">
        <f>'基金持仓'!D5</f>
        <v/>
      </c>
      <c r="E5" s="14" t="n">
        <v>0.13</v>
      </c>
      <c r="F5" s="19">
        <f>IF(E5&gt;=0.25,100,IF(E5&gt;=0.2,90,IF(E5&gt;=0.15,75,IF(E5&gt;=0.1,55,IF(E5&gt;=0.05,35,IF(E5&gt;=0,20,5))))))</f>
        <v/>
      </c>
      <c r="G5" s="13" t="inlineStr">
        <is>
          <t>N/A</t>
        </is>
      </c>
      <c r="H5" s="15">
        <f>IFERROR(VLOOKUP(D5,假设区!A22:C27,3,FALSE),"N/A")</f>
        <v/>
      </c>
      <c r="I5" s="19">
        <f>IF(OR(G5="N/A",H5="N/A"),50,MIN(100,MAX(0,50+50*(G5-H5)/0.15)))</f>
        <v/>
      </c>
      <c r="J5" s="14" t="n">
        <v>0.06</v>
      </c>
      <c r="K5" s="19">
        <f>IF(J5&gt;=0.5,100,IF(J5&gt;=0.3,85,IF(J5&gt;=0.15,70,IF(J5&gt;=0.05,50,IF(J5&gt;=0,30,IF(J5&gt;=-0.1,15,5))))))</f>
        <v/>
      </c>
      <c r="L5" s="14" t="n">
        <v>0.03</v>
      </c>
      <c r="M5" s="19">
        <f>IF(L5&gt;=0.3,100,IF(L5&gt;=0.2,85,IF(L5&gt;=0.1,65,IF(L5&gt;=0.05,45,IF(L5&gt;=0,25,10)))))</f>
        <v/>
      </c>
      <c r="N5" s="13" t="inlineStr">
        <is>
          <t>N/A</t>
        </is>
      </c>
      <c r="O5" s="19">
        <f>IF(N5="N/A",50,IF(N5&gt;=1.5,100,IF(N5&gt;=0.5,60+40*(N5-0.5)/1.0,IF(N5&gt;=0,60*N5/0.5,10))))</f>
        <v/>
      </c>
      <c r="P5" s="13" t="inlineStr">
        <is>
          <t>N/A</t>
        </is>
      </c>
      <c r="Q5" s="19">
        <f>IF(P5="N/A",50,IF(P5&gt;=0.15,100,IF(P5&gt;=0.1,85,IF(P5&gt;=0.05,65,IF(P5&gt;=0,40,15)))))</f>
        <v/>
      </c>
      <c r="R5" s="14" t="n">
        <v>0.91</v>
      </c>
      <c r="S5" s="15">
        <f>IFERROR(VLOOKUP(D5,假设区!A22:D27,4,FALSE),"N/A")</f>
        <v/>
      </c>
      <c r="T5" s="19">
        <f>IF(OR(R5="N/A",S5="N/A"),50,MAX(0,MIN(100,100-80*R5/(S5*1.3))))</f>
        <v/>
      </c>
      <c r="U5" s="13" t="inlineStr">
        <is>
          <t>N/A</t>
        </is>
      </c>
      <c r="V5" s="19">
        <f>IF(U5="N/A",50,IF(U5&gt;=1.5,100,IF(U5&gt;=1,80,IF(U5&gt;=0.7,55,IF(U5&gt;=0.4,30,10)))))</f>
        <v/>
      </c>
      <c r="W5" s="19">
        <f>0.6*F5+0.4*I5</f>
        <v/>
      </c>
      <c r="X5" s="19">
        <f>0.55*K5+0.45*M5</f>
        <v/>
      </c>
      <c r="Y5" s="19">
        <f>0.6*O5+0.4*Q5</f>
        <v/>
      </c>
      <c r="Z5" s="19">
        <f>0.6*T5+0.4*V5</f>
        <v/>
      </c>
      <c r="AA5" s="19">
        <f>0.3*W5+0.25*X5+0.25*Y5+0.2*Z5</f>
        <v/>
      </c>
      <c r="AB5" s="19">
        <f>C5*AA5</f>
        <v/>
      </c>
    </row>
    <row r="6">
      <c r="A6" s="18">
        <f>'基金持仓'!A6</f>
        <v/>
      </c>
      <c r="B6" s="18">
        <f>'基金持仓'!B6</f>
        <v/>
      </c>
      <c r="C6" s="15">
        <f>'基金持仓'!F6</f>
        <v/>
      </c>
      <c r="D6" s="18">
        <f>'基金持仓'!D6</f>
        <v/>
      </c>
      <c r="E6" s="14" t="n">
        <v>0.28</v>
      </c>
      <c r="F6" s="19">
        <f>IF(E6&gt;=0.25,100,IF(E6&gt;=0.2,90,IF(E6&gt;=0.15,75,IF(E6&gt;=0.1,55,IF(E6&gt;=0.05,35,IF(E6&gt;=0,20,5))))))</f>
        <v/>
      </c>
      <c r="G6" s="14" t="n">
        <v>0.66</v>
      </c>
      <c r="H6" s="15">
        <f>IFERROR(VLOOKUP(D6,假设区!A22:C27,3,FALSE),"N/A")</f>
        <v/>
      </c>
      <c r="I6" s="19">
        <f>IF(OR(G6="N/A",H6="N/A"),50,MIN(100,MAX(0,50+50*(G6-H6)/0.15)))</f>
        <v/>
      </c>
      <c r="J6" s="14" t="n">
        <v>0.22</v>
      </c>
      <c r="K6" s="19">
        <f>IF(J6&gt;=0.5,100,IF(J6&gt;=0.3,85,IF(J6&gt;=0.15,70,IF(J6&gt;=0.05,50,IF(J6&gt;=0,30,IF(J6&gt;=-0.1,15,5))))))</f>
        <v/>
      </c>
      <c r="L6" s="14" t="n">
        <v>0.19</v>
      </c>
      <c r="M6" s="19">
        <f>IF(L6&gt;=0.3,100,IF(L6&gt;=0.2,85,IF(L6&gt;=0.1,65,IF(L6&gt;=0.05,45,IF(L6&gt;=0,25,10)))))</f>
        <v/>
      </c>
      <c r="N6" s="20" t="n">
        <v>1.25</v>
      </c>
      <c r="O6" s="19">
        <f>IF(N6="N/A",50,IF(N6&gt;=1.5,100,IF(N6&gt;=0.5,60+40*(N6-0.5)/1.0,IF(N6&gt;=0,60*N6/0.5,10))))</f>
        <v/>
      </c>
      <c r="P6" s="14" t="n">
        <v>0.2</v>
      </c>
      <c r="Q6" s="19">
        <f>IF(P6="N/A",50,IF(P6&gt;=0.15,100,IF(P6&gt;=0.1,85,IF(P6&gt;=0.05,65,IF(P6&gt;=0,40,15)))))</f>
        <v/>
      </c>
      <c r="R6" s="14" t="n">
        <v>0.28</v>
      </c>
      <c r="S6" s="15">
        <f>IFERROR(VLOOKUP(D6,假设区!A22:D27,4,FALSE),"N/A")</f>
        <v/>
      </c>
      <c r="T6" s="19">
        <f>IF(OR(R6="N/A",S6="N/A"),50,MAX(0,MIN(100,100-80*R6/(S6*1.3))))</f>
        <v/>
      </c>
      <c r="U6" s="21" t="n">
        <v>2.2</v>
      </c>
      <c r="V6" s="19">
        <f>IF(U6="N/A",50,IF(U6&gt;=1.5,100,IF(U6&gt;=1,80,IF(U6&gt;=0.7,55,IF(U6&gt;=0.4,30,10)))))</f>
        <v/>
      </c>
      <c r="W6" s="19">
        <f>0.6*F6+0.4*I6</f>
        <v/>
      </c>
      <c r="X6" s="19">
        <f>0.55*K6+0.45*M6</f>
        <v/>
      </c>
      <c r="Y6" s="19">
        <f>0.6*O6+0.4*Q6</f>
        <v/>
      </c>
      <c r="Z6" s="19">
        <f>0.6*T6+0.4*V6</f>
        <v/>
      </c>
      <c r="AA6" s="19">
        <f>0.3*W6+0.25*X6+0.25*Y6+0.2*Z6</f>
        <v/>
      </c>
      <c r="AB6" s="19">
        <f>C6*AA6</f>
        <v/>
      </c>
    </row>
    <row r="7">
      <c r="A7" s="18">
        <f>'基金持仓'!A7</f>
        <v/>
      </c>
      <c r="B7" s="18">
        <f>'基金持仓'!B7</f>
        <v/>
      </c>
      <c r="C7" s="15">
        <f>'基金持仓'!F7</f>
        <v/>
      </c>
      <c r="D7" s="18">
        <f>'基金持仓'!D7</f>
        <v/>
      </c>
      <c r="E7" s="14" t="n">
        <v>0.18</v>
      </c>
      <c r="F7" s="19">
        <f>IF(E7&gt;=0.25,100,IF(E7&gt;=0.2,90,IF(E7&gt;=0.15,75,IF(E7&gt;=0.1,55,IF(E7&gt;=0.05,35,IF(E7&gt;=0,20,5))))))</f>
        <v/>
      </c>
      <c r="G7" s="14" t="n">
        <v>0.14</v>
      </c>
      <c r="H7" s="15">
        <f>IFERROR(VLOOKUP(D7,假设区!A22:C27,3,FALSE),"N/A")</f>
        <v/>
      </c>
      <c r="I7" s="19">
        <f>IF(OR(G7="N/A",H7="N/A"),50,MIN(100,MAX(0,50+50*(G7-H7)/0.15)))</f>
        <v/>
      </c>
      <c r="J7" s="14" t="n">
        <v>0.25</v>
      </c>
      <c r="K7" s="19">
        <f>IF(J7&gt;=0.5,100,IF(J7&gt;=0.3,85,IF(J7&gt;=0.15,70,IF(J7&gt;=0.05,50,IF(J7&gt;=0,30,IF(J7&gt;=-0.1,15,5))))))</f>
        <v/>
      </c>
      <c r="L7" s="14" t="n">
        <v>0.32</v>
      </c>
      <c r="M7" s="19">
        <f>IF(L7&gt;=0.3,100,IF(L7&gt;=0.2,85,IF(L7&gt;=0.1,65,IF(L7&gt;=0.05,45,IF(L7&gt;=0,25,10)))))</f>
        <v/>
      </c>
      <c r="N7" s="20" t="n">
        <v>0.72</v>
      </c>
      <c r="O7" s="19">
        <f>IF(N7="N/A",50,IF(N7&gt;=1.5,100,IF(N7&gt;=0.5,60+40*(N7-0.5)/1.0,IF(N7&gt;=0,60*N7/0.5,10))))</f>
        <v/>
      </c>
      <c r="P7" s="14" t="n">
        <v>0.04</v>
      </c>
      <c r="Q7" s="19">
        <f>IF(P7="N/A",50,IF(P7&gt;=0.15,100,IF(P7&gt;=0.1,85,IF(P7&gt;=0.05,65,IF(P7&gt;=0,40,15)))))</f>
        <v/>
      </c>
      <c r="R7" s="14" t="n">
        <v>0.55</v>
      </c>
      <c r="S7" s="15">
        <f>IFERROR(VLOOKUP(D7,假设区!A22:D27,4,FALSE),"N/A")</f>
        <v/>
      </c>
      <c r="T7" s="19">
        <f>IF(OR(R7="N/A",S7="N/A"),50,MAX(0,MIN(100,100-80*R7/(S7*1.3))))</f>
        <v/>
      </c>
      <c r="U7" s="21" t="n">
        <v>0.9</v>
      </c>
      <c r="V7" s="19">
        <f>IF(U7="N/A",50,IF(U7&gt;=1.5,100,IF(U7&gt;=1,80,IF(U7&gt;=0.7,55,IF(U7&gt;=0.4,30,10)))))</f>
        <v/>
      </c>
      <c r="W7" s="19">
        <f>0.6*F7+0.4*I7</f>
        <v/>
      </c>
      <c r="X7" s="19">
        <f>0.55*K7+0.45*M7</f>
        <v/>
      </c>
      <c r="Y7" s="19">
        <f>0.6*O7+0.4*Q7</f>
        <v/>
      </c>
      <c r="Z7" s="19">
        <f>0.6*T7+0.4*V7</f>
        <v/>
      </c>
      <c r="AA7" s="19">
        <f>0.3*W7+0.25*X7+0.25*Y7+0.2*Z7</f>
        <v/>
      </c>
      <c r="AB7" s="19">
        <f>C7*AA7</f>
        <v/>
      </c>
    </row>
    <row r="8">
      <c r="A8" s="18">
        <f>'基金持仓'!A8</f>
        <v/>
      </c>
      <c r="B8" s="18">
        <f>'基金持仓'!B8</f>
        <v/>
      </c>
      <c r="C8" s="15">
        <f>'基金持仓'!F8</f>
        <v/>
      </c>
      <c r="D8" s="18">
        <f>'基金持仓'!D8</f>
        <v/>
      </c>
      <c r="E8" s="14" t="n">
        <v>0.25</v>
      </c>
      <c r="F8" s="19">
        <f>IF(E8&gt;=0.25,100,IF(E8&gt;=0.2,90,IF(E8&gt;=0.15,75,IF(E8&gt;=0.1,55,IF(E8&gt;=0.05,35,IF(E8&gt;=0,20,5))))))</f>
        <v/>
      </c>
      <c r="G8" s="14" t="n">
        <v>0.76</v>
      </c>
      <c r="H8" s="15">
        <f>IFERROR(VLOOKUP(D8,假设区!A22:C27,3,FALSE),"N/A")</f>
        <v/>
      </c>
      <c r="I8" s="19">
        <f>IF(OR(G8="N/A",H8="N/A"),50,MIN(100,MAX(0,50+50*(G8-H8)/0.15)))</f>
        <v/>
      </c>
      <c r="J8" s="14" t="n">
        <v>0.14</v>
      </c>
      <c r="K8" s="19">
        <f>IF(J8&gt;=0.5,100,IF(J8&gt;=0.3,85,IF(J8&gt;=0.15,70,IF(J8&gt;=0.05,50,IF(J8&gt;=0,30,IF(J8&gt;=-0.1,15,5))))))</f>
        <v/>
      </c>
      <c r="L8" s="14" t="n">
        <v>0.11</v>
      </c>
      <c r="M8" s="19">
        <f>IF(L8&gt;=0.3,100,IF(L8&gt;=0.2,85,IF(L8&gt;=0.1,65,IF(L8&gt;=0.05,45,IF(L8&gt;=0,25,10)))))</f>
        <v/>
      </c>
      <c r="N8" s="20" t="n">
        <v>1.1</v>
      </c>
      <c r="O8" s="19">
        <f>IF(N8="N/A",50,IF(N8&gt;=1.5,100,IF(N8&gt;=0.5,60+40*(N8-0.5)/1.0,IF(N8&gt;=0,60*N8/0.5,10))))</f>
        <v/>
      </c>
      <c r="P8" s="14" t="n">
        <v>0.35</v>
      </c>
      <c r="Q8" s="19">
        <f>IF(P8="N/A",50,IF(P8&gt;=0.15,100,IF(P8&gt;=0.1,85,IF(P8&gt;=0.05,65,IF(P8&gt;=0,40,15)))))</f>
        <v/>
      </c>
      <c r="R8" s="14" t="n">
        <v>0.22</v>
      </c>
      <c r="S8" s="15">
        <f>IFERROR(VLOOKUP(D8,假设区!A22:D27,4,FALSE),"N/A")</f>
        <v/>
      </c>
      <c r="T8" s="19">
        <f>IF(OR(R8="N/A",S8="N/A"),50,MAX(0,MIN(100,100-80*R8/(S8*1.3))))</f>
        <v/>
      </c>
      <c r="U8" s="21" t="n">
        <v>2.5</v>
      </c>
      <c r="V8" s="19">
        <f>IF(U8="N/A",50,IF(U8&gt;=1.5,100,IF(U8&gt;=1,80,IF(U8&gt;=0.7,55,IF(U8&gt;=0.4,30,10)))))</f>
        <v/>
      </c>
      <c r="W8" s="19">
        <f>0.6*F8+0.4*I8</f>
        <v/>
      </c>
      <c r="X8" s="19">
        <f>0.55*K8+0.45*M8</f>
        <v/>
      </c>
      <c r="Y8" s="19">
        <f>0.6*O8+0.4*Q8</f>
        <v/>
      </c>
      <c r="Z8" s="19">
        <f>0.6*T8+0.4*V8</f>
        <v/>
      </c>
      <c r="AA8" s="19">
        <f>0.3*W8+0.25*X8+0.25*Y8+0.2*Z8</f>
        <v/>
      </c>
      <c r="AB8" s="19">
        <f>C8*AA8</f>
        <v/>
      </c>
    </row>
    <row r="9">
      <c r="A9" s="18">
        <f>'基金持仓'!A9</f>
        <v/>
      </c>
      <c r="B9" s="18">
        <f>'基金持仓'!B9</f>
        <v/>
      </c>
      <c r="C9" s="15">
        <f>'基金持仓'!F9</f>
        <v/>
      </c>
      <c r="D9" s="18">
        <f>'基金持仓'!D9</f>
        <v/>
      </c>
      <c r="E9" s="14" t="n">
        <v>0.15</v>
      </c>
      <c r="F9" s="19">
        <f>IF(E9&gt;=0.25,100,IF(E9&gt;=0.2,90,IF(E9&gt;=0.15,75,IF(E9&gt;=0.1,55,IF(E9&gt;=0.05,35,IF(E9&gt;=0,20,5))))))</f>
        <v/>
      </c>
      <c r="G9" s="14" t="n">
        <v>0.85</v>
      </c>
      <c r="H9" s="15">
        <f>IFERROR(VLOOKUP(D9,假设区!A22:C27,3,FALSE),"N/A")</f>
        <v/>
      </c>
      <c r="I9" s="19">
        <f>IF(OR(G9="N/A",H9="N/A"),50,MIN(100,MAX(0,50+50*(G9-H9)/0.15)))</f>
        <v/>
      </c>
      <c r="J9" s="14" t="n">
        <v>0.1</v>
      </c>
      <c r="K9" s="19">
        <f>IF(J9&gt;=0.5,100,IF(J9&gt;=0.3,85,IF(J9&gt;=0.15,70,IF(J9&gt;=0.05,50,IF(J9&gt;=0,30,IF(J9&gt;=-0.1,15,5))))))</f>
        <v/>
      </c>
      <c r="L9" s="14" t="n">
        <v>0.08</v>
      </c>
      <c r="M9" s="19">
        <f>IF(L9&gt;=0.3,100,IF(L9&gt;=0.2,85,IF(L9&gt;=0.1,65,IF(L9&gt;=0.05,45,IF(L9&gt;=0,25,10)))))</f>
        <v/>
      </c>
      <c r="N9" s="20" t="n">
        <v>0.95</v>
      </c>
      <c r="O9" s="19">
        <f>IF(N9="N/A",50,IF(N9&gt;=1.5,100,IF(N9&gt;=0.5,60+40*(N9-0.5)/1.0,IF(N9&gt;=0,60*N9/0.5,10))))</f>
        <v/>
      </c>
      <c r="P9" s="14" t="n">
        <v>0.15</v>
      </c>
      <c r="Q9" s="19">
        <f>IF(P9="N/A",50,IF(P9&gt;=0.15,100,IF(P9&gt;=0.1,85,IF(P9&gt;=0.05,65,IF(P9&gt;=0,40,15)))))</f>
        <v/>
      </c>
      <c r="R9" s="14" t="n">
        <v>0.12</v>
      </c>
      <c r="S9" s="15">
        <f>IFERROR(VLOOKUP(D9,假设区!A22:D27,4,FALSE),"N/A")</f>
        <v/>
      </c>
      <c r="T9" s="19">
        <f>IF(OR(R9="N/A",S9="N/A"),50,MAX(0,MIN(100,100-80*R9/(S9*1.3))))</f>
        <v/>
      </c>
      <c r="U9" s="21" t="n">
        <v>3.5</v>
      </c>
      <c r="V9" s="19">
        <f>IF(U9="N/A",50,IF(U9&gt;=1.5,100,IF(U9&gt;=1,80,IF(U9&gt;=0.7,55,IF(U9&gt;=0.4,30,10)))))</f>
        <v/>
      </c>
      <c r="W9" s="19">
        <f>0.6*F9+0.4*I9</f>
        <v/>
      </c>
      <c r="X9" s="19">
        <f>0.55*K9+0.45*M9</f>
        <v/>
      </c>
      <c r="Y9" s="19">
        <f>0.6*O9+0.4*Q9</f>
        <v/>
      </c>
      <c r="Z9" s="19">
        <f>0.6*T9+0.4*V9</f>
        <v/>
      </c>
      <c r="AA9" s="19">
        <f>0.3*W9+0.25*X9+0.25*Y9+0.2*Z9</f>
        <v/>
      </c>
      <c r="AB9" s="19">
        <f>C9*AA9</f>
        <v/>
      </c>
    </row>
    <row r="10">
      <c r="A10" s="18">
        <f>'基金持仓'!A10</f>
        <v/>
      </c>
      <c r="B10" s="18">
        <f>'基金持仓'!B10</f>
        <v/>
      </c>
      <c r="C10" s="15">
        <f>'基金持仓'!F10</f>
        <v/>
      </c>
      <c r="D10" s="18">
        <f>'基金持仓'!D10</f>
        <v/>
      </c>
      <c r="E10" s="14" t="n">
        <v>0.12</v>
      </c>
      <c r="F10" s="19">
        <f>IF(E10&gt;=0.25,100,IF(E10&gt;=0.2,90,IF(E10&gt;=0.15,75,IF(E10&gt;=0.1,55,IF(E10&gt;=0.05,35,IF(E10&gt;=0,20,5))))))</f>
        <v/>
      </c>
      <c r="G10" s="14" t="n">
        <v>0.88</v>
      </c>
      <c r="H10" s="15">
        <f>IFERROR(VLOOKUP(D10,假设区!A22:C27,3,FALSE),"N/A")</f>
        <v/>
      </c>
      <c r="I10" s="19">
        <f>IF(OR(G10="N/A",H10="N/A"),50,MIN(100,MAX(0,50+50*(G10-H10)/0.15)))</f>
        <v/>
      </c>
      <c r="J10" s="14" t="n">
        <v>0.4</v>
      </c>
      <c r="K10" s="19">
        <f>IF(J10&gt;=0.5,100,IF(J10&gt;=0.3,85,IF(J10&gt;=0.15,70,IF(J10&gt;=0.05,50,IF(J10&gt;=0,30,IF(J10&gt;=-0.1,15,5))))))</f>
        <v/>
      </c>
      <c r="L10" s="14" t="n">
        <v>0.35</v>
      </c>
      <c r="M10" s="19">
        <f>IF(L10&gt;=0.3,100,IF(L10&gt;=0.2,85,IF(L10&gt;=0.1,65,IF(L10&gt;=0.05,45,IF(L10&gt;=0,25,10)))))</f>
        <v/>
      </c>
      <c r="N10" s="20" t="n">
        <v>1.5</v>
      </c>
      <c r="O10" s="19">
        <f>IF(N10="N/A",50,IF(N10&gt;=1.5,100,IF(N10&gt;=0.5,60+40*(N10-0.5)/1.0,IF(N10&gt;=0,60*N10/0.5,10))))</f>
        <v/>
      </c>
      <c r="P10" s="14" t="n">
        <v>0.28</v>
      </c>
      <c r="Q10" s="19">
        <f>IF(P10="N/A",50,IF(P10&gt;=0.15,100,IF(P10&gt;=0.1,85,IF(P10&gt;=0.05,65,IF(P10&gt;=0,40,15)))))</f>
        <v/>
      </c>
      <c r="R10" s="14" t="n">
        <v>0.18</v>
      </c>
      <c r="S10" s="15">
        <f>IFERROR(VLOOKUP(D10,假设区!A22:D27,4,FALSE),"N/A")</f>
        <v/>
      </c>
      <c r="T10" s="19">
        <f>IF(OR(R10="N/A",S10="N/A"),50,MAX(0,MIN(100,100-80*R10/(S10*1.3))))</f>
        <v/>
      </c>
      <c r="U10" s="21" t="n">
        <v>4</v>
      </c>
      <c r="V10" s="19">
        <f>IF(U10="N/A",50,IF(U10&gt;=1.5,100,IF(U10&gt;=1,80,IF(U10&gt;=0.7,55,IF(U10&gt;=0.4,30,10)))))</f>
        <v/>
      </c>
      <c r="W10" s="19">
        <f>0.6*F10+0.4*I10</f>
        <v/>
      </c>
      <c r="X10" s="19">
        <f>0.55*K10+0.45*M10</f>
        <v/>
      </c>
      <c r="Y10" s="19">
        <f>0.6*O10+0.4*Q10</f>
        <v/>
      </c>
      <c r="Z10" s="19">
        <f>0.6*T10+0.4*V10</f>
        <v/>
      </c>
      <c r="AA10" s="19">
        <f>0.3*W10+0.25*X10+0.25*Y10+0.2*Z10</f>
        <v/>
      </c>
      <c r="AB10" s="19">
        <f>C10*AA10</f>
        <v/>
      </c>
    </row>
    <row r="11">
      <c r="A11" s="18">
        <f>'基金持仓'!A11</f>
        <v/>
      </c>
      <c r="B11" s="18">
        <f>'基金持仓'!B11</f>
        <v/>
      </c>
      <c r="C11" s="15">
        <f>'基金持仓'!F11</f>
        <v/>
      </c>
      <c r="D11" s="18">
        <f>'基金持仓'!D11</f>
        <v/>
      </c>
      <c r="E11" s="14" t="n">
        <v>0.2</v>
      </c>
      <c r="F11" s="19">
        <f>IF(E11&gt;=0.25,100,IF(E11&gt;=0.2,90,IF(E11&gt;=0.15,75,IF(E11&gt;=0.1,55,IF(E11&gt;=0.05,35,IF(E11&gt;=0,20,5))))))</f>
        <v/>
      </c>
      <c r="G11" s="14" t="n">
        <v>0.25</v>
      </c>
      <c r="H11" s="15">
        <f>IFERROR(VLOOKUP(D11,假设区!A22:C27,3,FALSE),"N/A")</f>
        <v/>
      </c>
      <c r="I11" s="19">
        <f>IF(OR(G11="N/A",H11="N/A"),50,MIN(100,MAX(0,50+50*(G11-H11)/0.15)))</f>
        <v/>
      </c>
      <c r="J11" s="14" t="n">
        <v>0.55</v>
      </c>
      <c r="K11" s="19">
        <f>IF(J11&gt;=0.5,100,IF(J11&gt;=0.3,85,IF(J11&gt;=0.15,70,IF(J11&gt;=0.05,50,IF(J11&gt;=0,30,IF(J11&gt;=-0.1,15,5))))))</f>
        <v/>
      </c>
      <c r="L11" s="14" t="n">
        <v>0.5</v>
      </c>
      <c r="M11" s="19">
        <f>IF(L11&gt;=0.3,100,IF(L11&gt;=0.2,85,IF(L11&gt;=0.1,65,IF(L11&gt;=0.05,45,IF(L11&gt;=0,25,10)))))</f>
        <v/>
      </c>
      <c r="N11" s="20" t="n">
        <v>0.6</v>
      </c>
      <c r="O11" s="19">
        <f>IF(N11="N/A",50,IF(N11&gt;=1.5,100,IF(N11&gt;=0.5,60+40*(N11-0.5)/1.0,IF(N11&gt;=0,60*N11/0.5,10))))</f>
        <v/>
      </c>
      <c r="P11" s="14" t="n">
        <v>-0.02</v>
      </c>
      <c r="Q11" s="19">
        <f>IF(P11="N/A",50,IF(P11&gt;=0.15,100,IF(P11&gt;=0.1,85,IF(P11&gt;=0.05,65,IF(P11&gt;=0,40,15)))))</f>
        <v/>
      </c>
      <c r="R11" s="14" t="n">
        <v>0.58</v>
      </c>
      <c r="S11" s="15">
        <f>IFERROR(VLOOKUP(D11,假设区!A22:D27,4,FALSE),"N/A")</f>
        <v/>
      </c>
      <c r="T11" s="19">
        <f>IF(OR(R11="N/A",S11="N/A"),50,MAX(0,MIN(100,100-80*R11/(S11*1.3))))</f>
        <v/>
      </c>
      <c r="U11" s="21" t="n">
        <v>0.95</v>
      </c>
      <c r="V11" s="19">
        <f>IF(U11="N/A",50,IF(U11&gt;=1.5,100,IF(U11&gt;=1,80,IF(U11&gt;=0.7,55,IF(U11&gt;=0.4,30,10)))))</f>
        <v/>
      </c>
      <c r="W11" s="19">
        <f>0.6*F11+0.4*I11</f>
        <v/>
      </c>
      <c r="X11" s="19">
        <f>0.55*K11+0.45*M11</f>
        <v/>
      </c>
      <c r="Y11" s="19">
        <f>0.6*O11+0.4*Q11</f>
        <v/>
      </c>
      <c r="Z11" s="19">
        <f>0.6*T11+0.4*V11</f>
        <v/>
      </c>
      <c r="AA11" s="19">
        <f>0.3*W11+0.25*X11+0.25*Y11+0.2*Z11</f>
        <v/>
      </c>
      <c r="AB11" s="19">
        <f>C11*AA11</f>
        <v/>
      </c>
    </row>
    <row r="12">
      <c r="A12" s="18">
        <f>'基金持仓'!A12</f>
        <v/>
      </c>
      <c r="B12" s="18">
        <f>'基金持仓'!B12</f>
        <v/>
      </c>
      <c r="C12" s="15">
        <f>'基金持仓'!F12</f>
        <v/>
      </c>
      <c r="D12" s="18">
        <f>'基金持仓'!D12</f>
        <v/>
      </c>
      <c r="E12" s="14" t="n">
        <v>0.16</v>
      </c>
      <c r="F12" s="19">
        <f>IF(E12&gt;=0.25,100,IF(E12&gt;=0.2,90,IF(E12&gt;=0.15,75,IF(E12&gt;=0.1,55,IF(E12&gt;=0.05,35,IF(E12&gt;=0,20,5))))))</f>
        <v/>
      </c>
      <c r="G12" s="14" t="n">
        <v>0.44</v>
      </c>
      <c r="H12" s="15">
        <f>IFERROR(VLOOKUP(D12,假设区!A22:C27,3,FALSE),"N/A")</f>
        <v/>
      </c>
      <c r="I12" s="19">
        <f>IF(OR(G12="N/A",H12="N/A"),50,MIN(100,MAX(0,50+50*(G12-H12)/0.15)))</f>
        <v/>
      </c>
      <c r="J12" s="14" t="n">
        <v>0.08</v>
      </c>
      <c r="K12" s="19">
        <f>IF(J12&gt;=0.5,100,IF(J12&gt;=0.3,85,IF(J12&gt;=0.15,70,IF(J12&gt;=0.05,50,IF(J12&gt;=0,30,IF(J12&gt;=-0.1,15,5))))))</f>
        <v/>
      </c>
      <c r="L12" s="14" t="n">
        <v>0.06</v>
      </c>
      <c r="M12" s="19">
        <f>IF(L12&gt;=0.3,100,IF(L12&gt;=0.2,85,IF(L12&gt;=0.1,65,IF(L12&gt;=0.05,45,IF(L12&gt;=0,25,10)))))</f>
        <v/>
      </c>
      <c r="N12" s="20" t="n">
        <v>0.88</v>
      </c>
      <c r="O12" s="19">
        <f>IF(N12="N/A",50,IF(N12&gt;=1.5,100,IF(N12&gt;=0.5,60+40*(N12-0.5)/1.0,IF(N12&gt;=0,60*N12/0.5,10))))</f>
        <v/>
      </c>
      <c r="P12" s="14" t="n">
        <v>0.1</v>
      </c>
      <c r="Q12" s="19">
        <f>IF(P12="N/A",50,IF(P12&gt;=0.15,100,IF(P12&gt;=0.1,85,IF(P12&gt;=0.05,65,IF(P12&gt;=0,40,15)))))</f>
        <v/>
      </c>
      <c r="R12" s="14" t="n">
        <v>0.35</v>
      </c>
      <c r="S12" s="15">
        <f>IFERROR(VLOOKUP(D12,假设区!A22:D27,4,FALSE),"N/A")</f>
        <v/>
      </c>
      <c r="T12" s="19">
        <f>IF(OR(R12="N/A",S12="N/A"),50,MAX(0,MIN(100,100-80*R12/(S12*1.3))))</f>
        <v/>
      </c>
      <c r="U12" s="21" t="n">
        <v>1.8</v>
      </c>
      <c r="V12" s="19">
        <f>IF(U12="N/A",50,IF(U12&gt;=1.5,100,IF(U12&gt;=1,80,IF(U12&gt;=0.7,55,IF(U12&gt;=0.4,30,10)))))</f>
        <v/>
      </c>
      <c r="W12" s="19">
        <f>0.6*F12+0.4*I12</f>
        <v/>
      </c>
      <c r="X12" s="19">
        <f>0.55*K12+0.45*M12</f>
        <v/>
      </c>
      <c r="Y12" s="19">
        <f>0.6*O12+0.4*Q12</f>
        <v/>
      </c>
      <c r="Z12" s="19">
        <f>0.6*T12+0.4*V12</f>
        <v/>
      </c>
      <c r="AA12" s="19">
        <f>0.3*W12+0.25*X12+0.25*Y12+0.2*Z12</f>
        <v/>
      </c>
      <c r="AB12" s="19">
        <f>C12*AA12</f>
        <v/>
      </c>
    </row>
    <row r="13">
      <c r="A13" s="22" t="n"/>
      <c r="B13" s="16" t="inlineStr">
        <is>
          <t>M1 综合得分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3">
        <f>SUM(AB3:AB12)</f>
        <v/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模型2：估值性价比（默认权重25%）</t>
        </is>
      </c>
    </row>
    <row r="2">
      <c r="A2" s="12" t="inlineStr">
        <is>
          <t>代码</t>
        </is>
      </c>
      <c r="B2" s="12" t="inlineStr">
        <is>
          <t>名称</t>
        </is>
      </c>
      <c r="C2" s="12" t="inlineStr">
        <is>
          <t>权重</t>
        </is>
      </c>
      <c r="D2" s="12" t="inlineStr">
        <is>
          <t>行业</t>
        </is>
      </c>
      <c r="E2" s="12" t="inlineStr">
        <is>
          <t>PE_TTM</t>
        </is>
      </c>
      <c r="F2" s="12" t="inlineStr">
        <is>
          <t>PE分位数</t>
        </is>
      </c>
      <c r="G2" s="12" t="inlineStr">
        <is>
          <t>PE得分</t>
        </is>
      </c>
      <c r="H2" s="12" t="inlineStr">
        <is>
          <t>PB_TTM</t>
        </is>
      </c>
      <c r="I2" s="12" t="inlineStr">
        <is>
          <t>PB分位数</t>
        </is>
      </c>
      <c r="J2" s="12" t="inlineStr">
        <is>
          <t>PB得分</t>
        </is>
      </c>
      <c r="K2" s="12" t="inlineStr">
        <is>
          <t>PEG</t>
        </is>
      </c>
      <c r="L2" s="12" t="inlineStr">
        <is>
          <t>PEG得分</t>
        </is>
      </c>
      <c r="M2" s="12" t="inlineStr">
        <is>
          <t>股息率</t>
        </is>
      </c>
      <c r="N2" s="12" t="inlineStr">
        <is>
          <t>股息率得分</t>
        </is>
      </c>
      <c r="O2" s="12" t="inlineStr">
        <is>
          <t>行业类型</t>
        </is>
      </c>
      <c r="P2" s="12" t="inlineStr">
        <is>
          <t>PE权重</t>
        </is>
      </c>
      <c r="Q2" s="12" t="inlineStr">
        <is>
          <t>PB权重</t>
        </is>
      </c>
      <c r="R2" s="12" t="inlineStr">
        <is>
          <t>PEG权重</t>
        </is>
      </c>
      <c r="S2" s="12" t="inlineStr">
        <is>
          <t>股息率权重</t>
        </is>
      </c>
      <c r="T2" s="12" t="inlineStr">
        <is>
          <t>估值总分</t>
        </is>
      </c>
      <c r="U2" s="12" t="inlineStr">
        <is>
          <t>加权贡献</t>
        </is>
      </c>
    </row>
    <row r="3">
      <c r="A3" s="18">
        <f>'基金持仓'!A3</f>
        <v/>
      </c>
      <c r="B3" s="18">
        <f>'基金持仓'!B3</f>
        <v/>
      </c>
      <c r="C3" s="15">
        <f>'基金持仓'!F3</f>
        <v/>
      </c>
      <c r="D3" s="18">
        <f>'基金持仓'!D3</f>
        <v/>
      </c>
      <c r="E3" s="21" t="n">
        <v>32.5</v>
      </c>
      <c r="F3" s="14" t="n">
        <v>0.78</v>
      </c>
      <c r="G3" s="19">
        <f>IF(F3&lt;=0.15,100,IF(F3&lt;=0.3,85,IF(F3&lt;=0.5,65,IF(F3&lt;=0.7,45,IF(F3&lt;=0.85,25,10)))))</f>
        <v/>
      </c>
      <c r="H3" s="21" t="n">
        <v>9.5</v>
      </c>
      <c r="I3" s="14" t="n">
        <v>0.72</v>
      </c>
      <c r="J3" s="19">
        <f>IF(I3&lt;=0.15,100,IF(I3&lt;=0.3,85,IF(I3&lt;=0.5,65,IF(I3&lt;=0.7,45,IF(I3&lt;=0.85,25,10)))))</f>
        <v/>
      </c>
      <c r="K3" s="20" t="n">
        <v>1.8</v>
      </c>
      <c r="L3" s="19">
        <f>IF(K3&lt;0.5,100,IF(K3&lt;0.8,90,IF(K3&lt;1,80,IF(K3&lt;1.5,60,IF(K3&lt;2.5,35,15)))))</f>
        <v/>
      </c>
      <c r="M3" s="14" t="n">
        <v>0.018</v>
      </c>
      <c r="N3" s="19">
        <f>IF(M3&gt;=0.05,100,IF(M3&gt;=0.035,85,IF(M3&gt;=0.025,70,IF(M3&gt;=0.015,50,IF(M3&gt;=0.005,30,IF(M3&gt;0,10,5))))))</f>
        <v/>
      </c>
      <c r="O3" s="18">
        <f>'基金持仓'!D3</f>
        <v/>
      </c>
      <c r="P3" s="14" t="n">
        <v>0.35</v>
      </c>
      <c r="Q3" s="14" t="n">
        <v>0.25</v>
      </c>
      <c r="R3" s="14" t="n">
        <v>0.25</v>
      </c>
      <c r="S3" s="14" t="n">
        <v>0.15</v>
      </c>
      <c r="T3" s="19">
        <f>P3*G3+Q3*J3+R3*L3+S3*N3</f>
        <v/>
      </c>
      <c r="U3" s="19">
        <f>C3*T3</f>
        <v/>
      </c>
    </row>
    <row r="4">
      <c r="A4" s="18">
        <f>'基金持仓'!A4</f>
        <v/>
      </c>
      <c r="B4" s="18">
        <f>'基金持仓'!B4</f>
        <v/>
      </c>
      <c r="C4" s="15">
        <f>'基金持仓'!F4</f>
        <v/>
      </c>
      <c r="D4" s="18">
        <f>'基金持仓'!D4</f>
        <v/>
      </c>
      <c r="E4" s="21" t="n">
        <v>22</v>
      </c>
      <c r="F4" s="14" t="n">
        <v>0.55</v>
      </c>
      <c r="G4" s="19">
        <f>IF(F4&lt;=0.15,100,IF(F4&lt;=0.3,85,IF(F4&lt;=0.5,65,IF(F4&lt;=0.7,45,IF(F4&lt;=0.85,25,10)))))</f>
        <v/>
      </c>
      <c r="H4" s="21" t="n">
        <v>5.2</v>
      </c>
      <c r="I4" s="14" t="n">
        <v>0.48</v>
      </c>
      <c r="J4" s="19">
        <f>IF(I4&lt;=0.15,100,IF(I4&lt;=0.3,85,IF(I4&lt;=0.5,65,IF(I4&lt;=0.7,45,IF(I4&lt;=0.85,25,10)))))</f>
        <v/>
      </c>
      <c r="K4" s="20" t="n">
        <v>0.63</v>
      </c>
      <c r="L4" s="19">
        <f>IF(K4&lt;0.5,100,IF(K4&lt;0.8,90,IF(K4&lt;1,80,IF(K4&lt;1.5,60,IF(K4&lt;2.5,35,15)))))</f>
        <v/>
      </c>
      <c r="M4" s="14" t="n">
        <v>0.008</v>
      </c>
      <c r="N4" s="19">
        <f>IF(M4&gt;=0.05,100,IF(M4&gt;=0.035,85,IF(M4&gt;=0.025,70,IF(M4&gt;=0.015,50,IF(M4&gt;=0.005,30,IF(M4&gt;0,10,5))))))</f>
        <v/>
      </c>
      <c r="O4" s="18">
        <f>'基金持仓'!D4</f>
        <v/>
      </c>
      <c r="P4" s="14" t="n">
        <v>0.35</v>
      </c>
      <c r="Q4" s="14" t="n">
        <v>0.25</v>
      </c>
      <c r="R4" s="14" t="n">
        <v>0.25</v>
      </c>
      <c r="S4" s="14" t="n">
        <v>0.15</v>
      </c>
      <c r="T4" s="19">
        <f>P4*G4+Q4*J4+R4*L4+S4*N4</f>
        <v/>
      </c>
      <c r="U4" s="19">
        <f>C4*T4</f>
        <v/>
      </c>
    </row>
    <row r="5">
      <c r="A5" s="18">
        <f>'基金持仓'!A5</f>
        <v/>
      </c>
      <c r="B5" s="18">
        <f>'基金持仓'!B5</f>
        <v/>
      </c>
      <c r="C5" s="15">
        <f>'基金持仓'!F5</f>
        <v/>
      </c>
      <c r="D5" s="18">
        <f>'基金持仓'!D5</f>
        <v/>
      </c>
      <c r="E5" s="21" t="n">
        <v>6.5</v>
      </c>
      <c r="F5" s="14" t="n">
        <v>0.45</v>
      </c>
      <c r="G5" s="19">
        <f>IF(F5&lt;=0.15,100,IF(F5&lt;=0.3,85,IF(F5&lt;=0.5,65,IF(F5&lt;=0.7,45,IF(F5&lt;=0.85,25,10)))))</f>
        <v/>
      </c>
      <c r="H5" s="21" t="n">
        <v>0.85</v>
      </c>
      <c r="I5" s="14" t="n">
        <v>0.35</v>
      </c>
      <c r="J5" s="19">
        <f>IF(I5&lt;=0.15,100,IF(I5&lt;=0.3,85,IF(I5&lt;=0.5,65,IF(I5&lt;=0.7,45,IF(I5&lt;=0.85,25,10)))))</f>
        <v/>
      </c>
      <c r="K5" s="20" t="n">
        <v>1.08</v>
      </c>
      <c r="L5" s="19">
        <f>IF(K5&lt;0.5,100,IF(K5&lt;0.8,90,IF(K5&lt;1,80,IF(K5&lt;1.5,60,IF(K5&lt;2.5,35,15)))))</f>
        <v/>
      </c>
      <c r="M5" s="14" t="n">
        <v>0.048</v>
      </c>
      <c r="N5" s="19">
        <f>IF(M5&gt;=0.05,100,IF(M5&gt;=0.035,85,IF(M5&gt;=0.025,70,IF(M5&gt;=0.015,50,IF(M5&gt;=0.005,30,IF(M5&gt;0,10,5))))))</f>
        <v/>
      </c>
      <c r="O5" s="18">
        <f>'基金持仓'!D5</f>
        <v/>
      </c>
      <c r="P5" s="14" t="n">
        <v>0.2</v>
      </c>
      <c r="Q5" s="14" t="n">
        <v>0.4</v>
      </c>
      <c r="R5" s="14" t="n">
        <v>0.15</v>
      </c>
      <c r="S5" s="14" t="n">
        <v>0.25</v>
      </c>
      <c r="T5" s="19">
        <f>P5*G5+Q5*J5+R5*L5+S5*N5</f>
        <v/>
      </c>
      <c r="U5" s="19">
        <f>C5*T5</f>
        <v/>
      </c>
    </row>
    <row r="6">
      <c r="A6" s="18">
        <f>'基金持仓'!A6</f>
        <v/>
      </c>
      <c r="B6" s="18">
        <f>'基金持仓'!B6</f>
        <v/>
      </c>
      <c r="C6" s="15">
        <f>'基金持仓'!F6</f>
        <v/>
      </c>
      <c r="D6" s="18">
        <f>'基金持仓'!D6</f>
        <v/>
      </c>
      <c r="E6" s="21" t="n">
        <v>35</v>
      </c>
      <c r="F6" s="14" t="n">
        <v>0.7</v>
      </c>
      <c r="G6" s="19">
        <f>IF(F6&lt;=0.15,100,IF(F6&lt;=0.3,85,IF(F6&lt;=0.5,65,IF(F6&lt;=0.7,45,IF(F6&lt;=0.85,25,10)))))</f>
        <v/>
      </c>
      <c r="H6" s="21" t="n">
        <v>8.800000000000001</v>
      </c>
      <c r="I6" s="14" t="n">
        <v>0.65</v>
      </c>
      <c r="J6" s="19">
        <f>IF(I6&lt;=0.15,100,IF(I6&lt;=0.3,85,IF(I6&lt;=0.5,65,IF(I6&lt;=0.7,45,IF(I6&lt;=0.85,25,10)))))</f>
        <v/>
      </c>
      <c r="K6" s="20" t="n">
        <v>1.6</v>
      </c>
      <c r="L6" s="19">
        <f>IF(K6&lt;0.5,100,IF(K6&lt;0.8,90,IF(K6&lt;1,80,IF(K6&lt;1.5,60,IF(K6&lt;2.5,35,15)))))</f>
        <v/>
      </c>
      <c r="M6" s="14" t="n">
        <v>0.012</v>
      </c>
      <c r="N6" s="19">
        <f>IF(M6&gt;=0.05,100,IF(M6&gt;=0.035,85,IF(M6&gt;=0.025,70,IF(M6&gt;=0.015,50,IF(M6&gt;=0.005,30,IF(M6&gt;0,10,5))))))</f>
        <v/>
      </c>
      <c r="O6" s="18">
        <f>'基金持仓'!D6</f>
        <v/>
      </c>
      <c r="P6" s="14" t="n">
        <v>0.35</v>
      </c>
      <c r="Q6" s="14" t="n">
        <v>0.25</v>
      </c>
      <c r="R6" s="14" t="n">
        <v>0.25</v>
      </c>
      <c r="S6" s="14" t="n">
        <v>0.15</v>
      </c>
      <c r="T6" s="19">
        <f>P6*G6+Q6*J6+R6*L6+S6*N6</f>
        <v/>
      </c>
      <c r="U6" s="19">
        <f>C6*T6</f>
        <v/>
      </c>
    </row>
    <row r="7">
      <c r="A7" s="18">
        <f>'基金持仓'!A7</f>
        <v/>
      </c>
      <c r="B7" s="18">
        <f>'基金持仓'!B7</f>
        <v/>
      </c>
      <c r="C7" s="15">
        <f>'基金持仓'!F7</f>
        <v/>
      </c>
      <c r="D7" s="18">
        <f>'基金持仓'!D7</f>
        <v/>
      </c>
      <c r="E7" s="21" t="n">
        <v>28</v>
      </c>
      <c r="F7" s="14" t="n">
        <v>0.6</v>
      </c>
      <c r="G7" s="19">
        <f>IF(F7&lt;=0.15,100,IF(F7&lt;=0.3,85,IF(F7&lt;=0.5,65,IF(F7&lt;=0.7,45,IF(F7&lt;=0.85,25,10)))))</f>
        <v/>
      </c>
      <c r="H7" s="21" t="n">
        <v>3.5</v>
      </c>
      <c r="I7" s="14" t="n">
        <v>0.52</v>
      </c>
      <c r="J7" s="19">
        <f>IF(I7&lt;=0.15,100,IF(I7&lt;=0.3,85,IF(I7&lt;=0.5,65,IF(I7&lt;=0.7,45,IF(I7&lt;=0.85,25,10)))))</f>
        <v/>
      </c>
      <c r="K7" s="20" t="n">
        <v>1.12</v>
      </c>
      <c r="L7" s="19">
        <f>IF(K7&lt;0.5,100,IF(K7&lt;0.8,90,IF(K7&lt;1,80,IF(K7&lt;1.5,60,IF(K7&lt;2.5,35,15)))))</f>
        <v/>
      </c>
      <c r="M7" s="14" t="n">
        <v>0.006</v>
      </c>
      <c r="N7" s="19">
        <f>IF(M7&gt;=0.05,100,IF(M7&gt;=0.035,85,IF(M7&gt;=0.025,70,IF(M7&gt;=0.015,50,IF(M7&gt;=0.005,30,IF(M7&gt;0,10,5))))))</f>
        <v/>
      </c>
      <c r="O7" s="18">
        <f>'基金持仓'!D7</f>
        <v/>
      </c>
      <c r="P7" s="14" t="n">
        <v>0.35</v>
      </c>
      <c r="Q7" s="14" t="n">
        <v>0.25</v>
      </c>
      <c r="R7" s="14" t="n">
        <v>0.25</v>
      </c>
      <c r="S7" s="14" t="n">
        <v>0.15</v>
      </c>
      <c r="T7" s="19">
        <f>P7*G7+Q7*J7+R7*L7+S7*N7</f>
        <v/>
      </c>
      <c r="U7" s="19">
        <f>C7*T7</f>
        <v/>
      </c>
    </row>
    <row r="8">
      <c r="A8" s="18">
        <f>'基金持仓'!A8</f>
        <v/>
      </c>
      <c r="B8" s="18">
        <f>'基金持仓'!B8</f>
        <v/>
      </c>
      <c r="C8" s="15">
        <f>'基金持仓'!F8</f>
        <v/>
      </c>
      <c r="D8" s="18">
        <f>'基金持仓'!D8</f>
        <v/>
      </c>
      <c r="E8" s="21" t="n">
        <v>25</v>
      </c>
      <c r="F8" s="14" t="n">
        <v>0.65</v>
      </c>
      <c r="G8" s="19">
        <f>IF(F8&lt;=0.15,100,IF(F8&lt;=0.3,85,IF(F8&lt;=0.5,65,IF(F8&lt;=0.7,45,IF(F8&lt;=0.85,25,10)))))</f>
        <v/>
      </c>
      <c r="H8" s="21" t="n">
        <v>6.2</v>
      </c>
      <c r="I8" s="14" t="n">
        <v>0.55</v>
      </c>
      <c r="J8" s="19">
        <f>IF(I8&lt;=0.15,100,IF(I8&lt;=0.3,85,IF(I8&lt;=0.5,65,IF(I8&lt;=0.7,45,IF(I8&lt;=0.85,25,10)))))</f>
        <v/>
      </c>
      <c r="K8" s="20" t="n">
        <v>1.79</v>
      </c>
      <c r="L8" s="19">
        <f>IF(K8&lt;0.5,100,IF(K8&lt;0.8,90,IF(K8&lt;1,80,IF(K8&lt;1.5,60,IF(K8&lt;2.5,35,15)))))</f>
        <v/>
      </c>
      <c r="M8" s="14" t="n">
        <v>0.022</v>
      </c>
      <c r="N8" s="19">
        <f>IF(M8&gt;=0.05,100,IF(M8&gt;=0.035,85,IF(M8&gt;=0.025,70,IF(M8&gt;=0.015,50,IF(M8&gt;=0.005,30,IF(M8&gt;0,10,5))))))</f>
        <v/>
      </c>
      <c r="O8" s="18">
        <f>'基金持仓'!D8</f>
        <v/>
      </c>
      <c r="P8" s="14" t="n">
        <v>0.35</v>
      </c>
      <c r="Q8" s="14" t="n">
        <v>0.25</v>
      </c>
      <c r="R8" s="14" t="n">
        <v>0.25</v>
      </c>
      <c r="S8" s="14" t="n">
        <v>0.15</v>
      </c>
      <c r="T8" s="19">
        <f>P8*G8+Q8*J8+R8*L8+S8*N8</f>
        <v/>
      </c>
      <c r="U8" s="19">
        <f>C8*T8</f>
        <v/>
      </c>
    </row>
    <row r="9">
      <c r="A9" s="18">
        <f>'基金持仓'!A9</f>
        <v/>
      </c>
      <c r="B9" s="18">
        <f>'基金持仓'!B9</f>
        <v/>
      </c>
      <c r="C9" s="15">
        <f>'基金持仓'!F9</f>
        <v/>
      </c>
      <c r="D9" s="18">
        <f>'基金持仓'!D9</f>
        <v/>
      </c>
      <c r="E9" s="21" t="n">
        <v>55</v>
      </c>
      <c r="F9" s="14" t="n">
        <v>0.82</v>
      </c>
      <c r="G9" s="19">
        <f>IF(F9&lt;=0.15,100,IF(F9&lt;=0.3,85,IF(F9&lt;=0.5,65,IF(F9&lt;=0.7,45,IF(F9&lt;=0.85,25,10)))))</f>
        <v/>
      </c>
      <c r="H9" s="21" t="n">
        <v>7.5</v>
      </c>
      <c r="I9" s="14" t="n">
        <v>0.68</v>
      </c>
      <c r="J9" s="19">
        <f>IF(I9&lt;=0.15,100,IF(I9&lt;=0.3,85,IF(I9&lt;=0.5,65,IF(I9&lt;=0.7,45,IF(I9&lt;=0.85,25,10)))))</f>
        <v/>
      </c>
      <c r="K9" s="20" t="n">
        <v>5.5</v>
      </c>
      <c r="L9" s="19">
        <f>IF(K9&lt;0.5,100,IF(K9&lt;0.8,90,IF(K9&lt;1,80,IF(K9&lt;1.5,60,IF(K9&lt;2.5,35,15)))))</f>
        <v/>
      </c>
      <c r="M9" s="14" t="n">
        <v>0.005</v>
      </c>
      <c r="N9" s="19">
        <f>IF(M9&gt;=0.05,100,IF(M9&gt;=0.035,85,IF(M9&gt;=0.025,70,IF(M9&gt;=0.015,50,IF(M9&gt;=0.005,30,IF(M9&gt;0,10,5))))))</f>
        <v/>
      </c>
      <c r="O9" s="18">
        <f>'基金持仓'!D9</f>
        <v/>
      </c>
      <c r="P9" s="14" t="n">
        <v>0.35</v>
      </c>
      <c r="Q9" s="14" t="n">
        <v>0.25</v>
      </c>
      <c r="R9" s="14" t="n">
        <v>0.25</v>
      </c>
      <c r="S9" s="14" t="n">
        <v>0.15</v>
      </c>
      <c r="T9" s="19">
        <f>P9*G9+Q9*J9+R9*L9+S9*N9</f>
        <v/>
      </c>
      <c r="U9" s="19">
        <f>C9*T9</f>
        <v/>
      </c>
    </row>
    <row r="10">
      <c r="A10" s="18">
        <f>'基金持仓'!A10</f>
        <v/>
      </c>
      <c r="B10" s="18">
        <f>'基金持仓'!B10</f>
        <v/>
      </c>
      <c r="C10" s="15">
        <f>'基金持仓'!F10</f>
        <v/>
      </c>
      <c r="D10" s="18">
        <f>'基金持仓'!D10</f>
        <v/>
      </c>
      <c r="E10" s="21" t="n">
        <v>85</v>
      </c>
      <c r="F10" s="14" t="n">
        <v>0.88</v>
      </c>
      <c r="G10" s="19">
        <f>IF(F10&lt;=0.15,100,IF(F10&lt;=0.3,85,IF(F10&lt;=0.5,65,IF(F10&lt;=0.7,45,IF(F10&lt;=0.85,25,10)))))</f>
        <v/>
      </c>
      <c r="H10" s="21" t="n">
        <v>15</v>
      </c>
      <c r="I10" s="14" t="n">
        <v>0.85</v>
      </c>
      <c r="J10" s="19">
        <f>IF(I10&lt;=0.15,100,IF(I10&lt;=0.3,85,IF(I10&lt;=0.5,65,IF(I10&lt;=0.7,45,IF(I10&lt;=0.85,25,10)))))</f>
        <v/>
      </c>
      <c r="K10" s="20" t="n">
        <v>2.13</v>
      </c>
      <c r="L10" s="19">
        <f>IF(K10&lt;0.5,100,IF(K10&lt;0.8,90,IF(K10&lt;1,80,IF(K10&lt;1.5,60,IF(K10&lt;2.5,35,15)))))</f>
        <v/>
      </c>
      <c r="M10" s="14" t="n">
        <v>0.003</v>
      </c>
      <c r="N10" s="19">
        <f>IF(M10&gt;=0.05,100,IF(M10&gt;=0.035,85,IF(M10&gt;=0.025,70,IF(M10&gt;=0.015,50,IF(M10&gt;=0.005,30,IF(M10&gt;0,10,5))))))</f>
        <v/>
      </c>
      <c r="O10" s="18">
        <f>'基金持仓'!D10</f>
        <v/>
      </c>
      <c r="P10" s="14" t="n">
        <v>0.35</v>
      </c>
      <c r="Q10" s="14" t="n">
        <v>0.25</v>
      </c>
      <c r="R10" s="14" t="n">
        <v>0.25</v>
      </c>
      <c r="S10" s="14" t="n">
        <v>0.15</v>
      </c>
      <c r="T10" s="19">
        <f>P10*G10+Q10*J10+R10*L10+S10*N10</f>
        <v/>
      </c>
      <c r="U10" s="19">
        <f>C10*T10</f>
        <v/>
      </c>
    </row>
    <row r="11">
      <c r="A11" s="18">
        <f>'基金持仓'!A11</f>
        <v/>
      </c>
      <c r="B11" s="18">
        <f>'基金持仓'!B11</f>
        <v/>
      </c>
      <c r="C11" s="15">
        <f>'基金持仓'!F11</f>
        <v/>
      </c>
      <c r="D11" s="18">
        <f>'基金持仓'!D11</f>
        <v/>
      </c>
      <c r="E11" s="21" t="n">
        <v>18</v>
      </c>
      <c r="F11" s="14" t="n">
        <v>0.42</v>
      </c>
      <c r="G11" s="19">
        <f>IF(F11&lt;=0.15,100,IF(F11&lt;=0.3,85,IF(F11&lt;=0.5,65,IF(F11&lt;=0.7,45,IF(F11&lt;=0.85,25,10)))))</f>
        <v/>
      </c>
      <c r="H11" s="21" t="n">
        <v>3.8</v>
      </c>
      <c r="I11" s="14" t="n">
        <v>0.38</v>
      </c>
      <c r="J11" s="19">
        <f>IF(I11&lt;=0.15,100,IF(I11&lt;=0.3,85,IF(I11&lt;=0.5,65,IF(I11&lt;=0.7,45,IF(I11&lt;=0.85,25,10)))))</f>
        <v/>
      </c>
      <c r="K11" s="20" t="n">
        <v>0.33</v>
      </c>
      <c r="L11" s="19">
        <f>IF(K11&lt;0.5,100,IF(K11&lt;0.8,90,IF(K11&lt;1,80,IF(K11&lt;1.5,60,IF(K11&lt;2.5,35,15)))))</f>
        <v/>
      </c>
      <c r="M11" s="14" t="n">
        <v>0.006</v>
      </c>
      <c r="N11" s="19">
        <f>IF(M11&gt;=0.05,100,IF(M11&gt;=0.035,85,IF(M11&gt;=0.025,70,IF(M11&gt;=0.015,50,IF(M11&gt;=0.005,30,IF(M11&gt;0,10,5))))))</f>
        <v/>
      </c>
      <c r="O11" s="18">
        <f>'基金持仓'!D11</f>
        <v/>
      </c>
      <c r="P11" s="14" t="n">
        <v>0.35</v>
      </c>
      <c r="Q11" s="14" t="n">
        <v>0.25</v>
      </c>
      <c r="R11" s="14" t="n">
        <v>0.25</v>
      </c>
      <c r="S11" s="14" t="n">
        <v>0.15</v>
      </c>
      <c r="T11" s="19">
        <f>P11*G11+Q11*J11+R11*L11+S11*N11</f>
        <v/>
      </c>
      <c r="U11" s="19">
        <f>C11*T11</f>
        <v/>
      </c>
    </row>
    <row r="12">
      <c r="A12" s="18">
        <f>'基金持仓'!A12</f>
        <v/>
      </c>
      <c r="B12" s="18">
        <f>'基金持仓'!B12</f>
        <v/>
      </c>
      <c r="C12" s="15">
        <f>'基金持仓'!F12</f>
        <v/>
      </c>
      <c r="D12" s="18">
        <f>'基金持仓'!D12</f>
        <v/>
      </c>
      <c r="E12" s="21" t="n">
        <v>22</v>
      </c>
      <c r="F12" s="14" t="n">
        <v>0.5</v>
      </c>
      <c r="G12" s="19">
        <f>IF(F12&lt;=0.15,100,IF(F12&lt;=0.3,85,IF(F12&lt;=0.5,65,IF(F12&lt;=0.7,45,IF(F12&lt;=0.85,25,10)))))</f>
        <v/>
      </c>
      <c r="H12" s="21" t="n">
        <v>4.2</v>
      </c>
      <c r="I12" s="14" t="n">
        <v>0.45</v>
      </c>
      <c r="J12" s="19">
        <f>IF(I12&lt;=0.15,100,IF(I12&lt;=0.3,85,IF(I12&lt;=0.5,65,IF(I12&lt;=0.7,45,IF(I12&lt;=0.85,25,10)))))</f>
        <v/>
      </c>
      <c r="K12" s="20" t="n">
        <v>2.75</v>
      </c>
      <c r="L12" s="19">
        <f>IF(K12&lt;0.5,100,IF(K12&lt;0.8,90,IF(K12&lt;1,80,IF(K12&lt;1.5,60,IF(K12&lt;2.5,35,15)))))</f>
        <v/>
      </c>
      <c r="M12" s="14" t="n">
        <v>0.025</v>
      </c>
      <c r="N12" s="19">
        <f>IF(M12&gt;=0.05,100,IF(M12&gt;=0.035,85,IF(M12&gt;=0.025,70,IF(M12&gt;=0.015,50,IF(M12&gt;=0.005,30,IF(M12&gt;0,10,5))))))</f>
        <v/>
      </c>
      <c r="O12" s="18">
        <f>'基金持仓'!D12</f>
        <v/>
      </c>
      <c r="P12" s="14" t="n">
        <v>0.35</v>
      </c>
      <c r="Q12" s="14" t="n">
        <v>0.25</v>
      </c>
      <c r="R12" s="14" t="n">
        <v>0.25</v>
      </c>
      <c r="S12" s="14" t="n">
        <v>0.15</v>
      </c>
      <c r="T12" s="19">
        <f>P12*G12+Q12*J12+R12*L12+S12*N12</f>
        <v/>
      </c>
      <c r="U12" s="19">
        <f>C12*T12</f>
        <v/>
      </c>
    </row>
    <row r="13">
      <c r="A13" s="22" t="n"/>
      <c r="B13" s="16" t="inlineStr">
        <is>
          <t>M2 综合得分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3">
        <f>SUM(U3:U12)</f>
        <v/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</cols>
  <sheetData>
    <row r="1">
      <c r="A1" s="2" t="inlineStr">
        <is>
          <t>模型3：新闻舆情与动量（默认权重20%）</t>
        </is>
      </c>
    </row>
    <row r="2">
      <c r="A2" s="12" t="inlineStr">
        <is>
          <t>代码</t>
        </is>
      </c>
      <c r="B2" s="12" t="inlineStr">
        <is>
          <t>名称</t>
        </is>
      </c>
      <c r="C2" s="12" t="inlineStr">
        <is>
          <t>权重</t>
        </is>
      </c>
      <c r="D2" s="12" t="inlineStr">
        <is>
          <t>正面新闻</t>
        </is>
      </c>
      <c r="E2" s="12" t="inlineStr">
        <is>
          <t>负面新闻</t>
        </is>
      </c>
      <c r="F2" s="12" t="inlineStr">
        <is>
          <t>中性新闻</t>
        </is>
      </c>
      <c r="G2" s="12" t="inlineStr">
        <is>
          <t>新闻情感分</t>
        </is>
      </c>
      <c r="H2" s="12" t="inlineStr">
        <is>
          <t>自媒体占比</t>
        </is>
      </c>
      <c r="I2" s="12" t="inlineStr">
        <is>
          <t>来源降级扣分</t>
        </is>
      </c>
      <c r="J2" s="12" t="inlineStr">
        <is>
          <t>分析师上调</t>
        </is>
      </c>
      <c r="K2" s="12" t="inlineStr">
        <is>
          <t>分析师下调</t>
        </is>
      </c>
      <c r="L2" s="12" t="inlineStr">
        <is>
          <t>总报告</t>
        </is>
      </c>
      <c r="M2" s="12" t="inlineStr">
        <is>
          <t>评级得分</t>
        </is>
      </c>
      <c r="N2" s="12" t="inlineStr">
        <is>
          <t>调研分位数</t>
        </is>
      </c>
      <c r="O2" s="12" t="inlineStr">
        <is>
          <t>调研得分</t>
        </is>
      </c>
      <c r="P2" s="12" t="inlineStr">
        <is>
          <t>资金净流入%</t>
        </is>
      </c>
      <c r="Q2" s="12" t="inlineStr">
        <is>
          <t>资金得分</t>
        </is>
      </c>
      <c r="R2" s="12" t="inlineStr">
        <is>
          <t>舆情总分</t>
        </is>
      </c>
      <c r="S2" s="12" t="inlineStr">
        <is>
          <t>加权贡献</t>
        </is>
      </c>
    </row>
    <row r="3">
      <c r="A3" s="18">
        <f>'基金持仓'!A3</f>
        <v/>
      </c>
      <c r="B3" s="18">
        <f>'基金持仓'!B3</f>
        <v/>
      </c>
      <c r="C3" s="15">
        <f>'基金持仓'!F3</f>
        <v/>
      </c>
      <c r="D3" s="13" t="n">
        <v>45</v>
      </c>
      <c r="E3" s="13" t="n">
        <v>8</v>
      </c>
      <c r="F3" s="13" t="n">
        <v>20</v>
      </c>
      <c r="G3" s="24">
        <f>(D3-E3)/(D3+E3+F3)</f>
        <v/>
      </c>
      <c r="H3" s="14" t="n">
        <v>0.25</v>
      </c>
      <c r="I3" s="25">
        <f>IF(H3&gt;0.6,-15,0)</f>
        <v/>
      </c>
      <c r="J3" s="13" t="n">
        <v>3</v>
      </c>
      <c r="K3" s="13" t="n">
        <v>1</v>
      </c>
      <c r="L3" s="13" t="n">
        <v>12</v>
      </c>
      <c r="M3" s="19">
        <f>MIN(100,MAX(0,50+25*(J3-K3)/L3))</f>
        <v/>
      </c>
      <c r="N3" s="14" t="n">
        <v>0.75</v>
      </c>
      <c r="O3" s="19">
        <f>IF(N3&gt;=0.9,100,IF(N3&gt;=0.75,85,IF(N3&gt;=0.5,65,IF(N3&gt;=0.25,45,IF(N3&gt;0,25,10)))))</f>
        <v/>
      </c>
      <c r="P3" s="14" t="n">
        <v>0.008</v>
      </c>
      <c r="Q3" s="19">
        <f>IF(P3&gt;=0.02,100,IF(P3&gt;=0.01,85,IF(P3&gt;=0.003,65,IF(P3&gt;=-0.003,50,IF(P3&gt;=-0.01,35,15)))))</f>
        <v/>
      </c>
      <c r="R3" s="19">
        <f>0.35*(MIN(100,MAX(0,50+100*G3))+I3)+0.25*M3+0.2*O3+0.2*Q3</f>
        <v/>
      </c>
      <c r="S3" s="19">
        <f>C3*R3</f>
        <v/>
      </c>
    </row>
    <row r="4">
      <c r="A4" s="18">
        <f>'基金持仓'!A4</f>
        <v/>
      </c>
      <c r="B4" s="18">
        <f>'基金持仓'!B4</f>
        <v/>
      </c>
      <c r="C4" s="15">
        <f>'基金持仓'!F4</f>
        <v/>
      </c>
      <c r="D4" s="13" t="n">
        <v>30</v>
      </c>
      <c r="E4" s="13" t="n">
        <v>15</v>
      </c>
      <c r="F4" s="13" t="n">
        <v>18</v>
      </c>
      <c r="G4" s="24">
        <f>(D4-E4)/(D4+E4+F4)</f>
        <v/>
      </c>
      <c r="H4" s="14" t="n">
        <v>0.35</v>
      </c>
      <c r="I4" s="25">
        <f>IF(H4&gt;0.6,-15,0)</f>
        <v/>
      </c>
      <c r="J4" s="13" t="n">
        <v>5</v>
      </c>
      <c r="K4" s="13" t="n">
        <v>2</v>
      </c>
      <c r="L4" s="13" t="n">
        <v>15</v>
      </c>
      <c r="M4" s="19">
        <f>MIN(100,MAX(0,50+25*(J4-K4)/L4))</f>
        <v/>
      </c>
      <c r="N4" s="14" t="n">
        <v>0.85</v>
      </c>
      <c r="O4" s="19">
        <f>IF(N4&gt;=0.9,100,IF(N4&gt;=0.75,85,IF(N4&gt;=0.5,65,IF(N4&gt;=0.25,45,IF(N4&gt;0,25,10)))))</f>
        <v/>
      </c>
      <c r="P4" s="14" t="n">
        <v>-0.005</v>
      </c>
      <c r="Q4" s="19">
        <f>IF(P4&gt;=0.02,100,IF(P4&gt;=0.01,85,IF(P4&gt;=0.003,65,IF(P4&gt;=-0.003,50,IF(P4&gt;=-0.01,35,15)))))</f>
        <v/>
      </c>
      <c r="R4" s="19">
        <f>0.35*(MIN(100,MAX(0,50+100*G4))+I4)+0.25*M4+0.2*O4+0.2*Q4</f>
        <v/>
      </c>
      <c r="S4" s="19">
        <f>C4*R4</f>
        <v/>
      </c>
    </row>
    <row r="5">
      <c r="A5" s="18">
        <f>'基金持仓'!A5</f>
        <v/>
      </c>
      <c r="B5" s="18">
        <f>'基金持仓'!B5</f>
        <v/>
      </c>
      <c r="C5" s="15">
        <f>'基金持仓'!F5</f>
        <v/>
      </c>
      <c r="D5" s="13" t="n">
        <v>35</v>
      </c>
      <c r="E5" s="13" t="n">
        <v>10</v>
      </c>
      <c r="F5" s="13" t="n">
        <v>22</v>
      </c>
      <c r="G5" s="24">
        <f>(D5-E5)/(D5+E5+F5)</f>
        <v/>
      </c>
      <c r="H5" s="14" t="n">
        <v>0.2</v>
      </c>
      <c r="I5" s="25">
        <f>IF(H5&gt;0.6,-15,0)</f>
        <v/>
      </c>
      <c r="J5" s="13" t="n">
        <v>2</v>
      </c>
      <c r="K5" s="13" t="n">
        <v>0</v>
      </c>
      <c r="L5" s="13" t="n">
        <v>8</v>
      </c>
      <c r="M5" s="19">
        <f>MIN(100,MAX(0,50+25*(J5-K5)/L5))</f>
        <v/>
      </c>
      <c r="N5" s="14" t="n">
        <v>0.55</v>
      </c>
      <c r="O5" s="19">
        <f>IF(N5&gt;=0.9,100,IF(N5&gt;=0.75,85,IF(N5&gt;=0.5,65,IF(N5&gt;=0.25,45,IF(N5&gt;0,25,10)))))</f>
        <v/>
      </c>
      <c r="P5" s="14" t="n">
        <v>0.015</v>
      </c>
      <c r="Q5" s="19">
        <f>IF(P5&gt;=0.02,100,IF(P5&gt;=0.01,85,IF(P5&gt;=0.003,65,IF(P5&gt;=-0.003,50,IF(P5&gt;=-0.01,35,15)))))</f>
        <v/>
      </c>
      <c r="R5" s="19">
        <f>0.35*(MIN(100,MAX(0,50+100*G5))+I5)+0.25*M5+0.2*O5+0.2*Q5</f>
        <v/>
      </c>
      <c r="S5" s="19">
        <f>C5*R5</f>
        <v/>
      </c>
    </row>
    <row r="6">
      <c r="A6" s="18">
        <f>'基金持仓'!A6</f>
        <v/>
      </c>
      <c r="B6" s="18">
        <f>'基金持仓'!B6</f>
        <v/>
      </c>
      <c r="C6" s="15">
        <f>'基金持仓'!F6</f>
        <v/>
      </c>
      <c r="D6" s="13" t="n">
        <v>28</v>
      </c>
      <c r="E6" s="13" t="n">
        <v>12</v>
      </c>
      <c r="F6" s="13" t="n">
        <v>25</v>
      </c>
      <c r="G6" s="24">
        <f>(D6-E6)/(D6+E6+F6)</f>
        <v/>
      </c>
      <c r="H6" s="14" t="n">
        <v>0.18</v>
      </c>
      <c r="I6" s="25">
        <f>IF(H6&gt;0.6,-15,0)</f>
        <v/>
      </c>
      <c r="J6" s="13" t="n">
        <v>4</v>
      </c>
      <c r="K6" s="13" t="n">
        <v>1</v>
      </c>
      <c r="L6" s="13" t="n">
        <v>10</v>
      </c>
      <c r="M6" s="19">
        <f>MIN(100,MAX(0,50+25*(J6-K6)/L6))</f>
        <v/>
      </c>
      <c r="N6" s="14" t="n">
        <v>0.7</v>
      </c>
      <c r="O6" s="19">
        <f>IF(N6&gt;=0.9,100,IF(N6&gt;=0.75,85,IF(N6&gt;=0.5,65,IF(N6&gt;=0.25,45,IF(N6&gt;0,25,10)))))</f>
        <v/>
      </c>
      <c r="P6" s="14" t="n">
        <v>0.006</v>
      </c>
      <c r="Q6" s="19">
        <f>IF(P6&gt;=0.02,100,IF(P6&gt;=0.01,85,IF(P6&gt;=0.003,65,IF(P6&gt;=-0.003,50,IF(P6&gt;=-0.01,35,15)))))</f>
        <v/>
      </c>
      <c r="R6" s="19">
        <f>0.35*(MIN(100,MAX(0,50+100*G6))+I6)+0.25*M6+0.2*O6+0.2*Q6</f>
        <v/>
      </c>
      <c r="S6" s="19">
        <f>C6*R6</f>
        <v/>
      </c>
    </row>
    <row r="7">
      <c r="A7" s="18">
        <f>'基金持仓'!A7</f>
        <v/>
      </c>
      <c r="B7" s="18">
        <f>'基金持仓'!B7</f>
        <v/>
      </c>
      <c r="C7" s="15">
        <f>'基金持仓'!F7</f>
        <v/>
      </c>
      <c r="D7" s="13" t="n">
        <v>22</v>
      </c>
      <c r="E7" s="13" t="n">
        <v>18</v>
      </c>
      <c r="F7" s="13" t="n">
        <v>28</v>
      </c>
      <c r="G7" s="24">
        <f>(D7-E7)/(D7+E7+F7)</f>
        <v/>
      </c>
      <c r="H7" s="14" t="n">
        <v>0.22</v>
      </c>
      <c r="I7" s="25">
        <f>IF(H7&gt;0.6,-15,0)</f>
        <v/>
      </c>
      <c r="J7" s="13" t="n">
        <v>3</v>
      </c>
      <c r="K7" s="13" t="n">
        <v>3</v>
      </c>
      <c r="L7" s="13" t="n">
        <v>14</v>
      </c>
      <c r="M7" s="19">
        <f>MIN(100,MAX(0,50+25*(J7-K7)/L7))</f>
        <v/>
      </c>
      <c r="N7" s="14" t="n">
        <v>0.5</v>
      </c>
      <c r="O7" s="19">
        <f>IF(N7&gt;=0.9,100,IF(N7&gt;=0.75,85,IF(N7&gt;=0.5,65,IF(N7&gt;=0.25,45,IF(N7&gt;0,25,10)))))</f>
        <v/>
      </c>
      <c r="P7" s="14" t="n">
        <v>-0.008</v>
      </c>
      <c r="Q7" s="19">
        <f>IF(P7&gt;=0.02,100,IF(P7&gt;=0.01,85,IF(P7&gt;=0.003,65,IF(P7&gt;=-0.003,50,IF(P7&gt;=-0.01,35,15)))))</f>
        <v/>
      </c>
      <c r="R7" s="19">
        <f>0.35*(MIN(100,MAX(0,50+100*G7))+I7)+0.25*M7+0.2*O7+0.2*Q7</f>
        <v/>
      </c>
      <c r="S7" s="19">
        <f>C7*R7</f>
        <v/>
      </c>
    </row>
    <row r="8">
      <c r="A8" s="18">
        <f>'基金持仓'!A8</f>
        <v/>
      </c>
      <c r="B8" s="18">
        <f>'基金持仓'!B8</f>
        <v/>
      </c>
      <c r="C8" s="15">
        <f>'基金持仓'!F8</f>
        <v/>
      </c>
      <c r="D8" s="13" t="n">
        <v>40</v>
      </c>
      <c r="E8" s="13" t="n">
        <v>10</v>
      </c>
      <c r="F8" s="13" t="n">
        <v>18</v>
      </c>
      <c r="G8" s="24">
        <f>(D8-E8)/(D8+E8+F8)</f>
        <v/>
      </c>
      <c r="H8" s="14" t="n">
        <v>0.28</v>
      </c>
      <c r="I8" s="25">
        <f>IF(H8&gt;0.6,-15,0)</f>
        <v/>
      </c>
      <c r="J8" s="13" t="n">
        <v>2</v>
      </c>
      <c r="K8" s="13" t="n">
        <v>1</v>
      </c>
      <c r="L8" s="13" t="n">
        <v>9</v>
      </c>
      <c r="M8" s="19">
        <f>MIN(100,MAX(0,50+25*(J8-K8)/L8))</f>
        <v/>
      </c>
      <c r="N8" s="14" t="n">
        <v>0.6</v>
      </c>
      <c r="O8" s="19">
        <f>IF(N8&gt;=0.9,100,IF(N8&gt;=0.75,85,IF(N8&gt;=0.5,65,IF(N8&gt;=0.25,45,IF(N8&gt;0,25,10)))))</f>
        <v/>
      </c>
      <c r="P8" s="14" t="n">
        <v>0.012</v>
      </c>
      <c r="Q8" s="19">
        <f>IF(P8&gt;=0.02,100,IF(P8&gt;=0.01,85,IF(P8&gt;=0.003,65,IF(P8&gt;=-0.003,50,IF(P8&gt;=-0.01,35,15)))))</f>
        <v/>
      </c>
      <c r="R8" s="19">
        <f>0.35*(MIN(100,MAX(0,50+100*G8))+I8)+0.25*M8+0.2*O8+0.2*Q8</f>
        <v/>
      </c>
      <c r="S8" s="19">
        <f>C8*R8</f>
        <v/>
      </c>
    </row>
    <row r="9">
      <c r="A9" s="18">
        <f>'基金持仓'!A9</f>
        <v/>
      </c>
      <c r="B9" s="18">
        <f>'基金持仓'!B9</f>
        <v/>
      </c>
      <c r="C9" s="15">
        <f>'基金持仓'!F9</f>
        <v/>
      </c>
      <c r="D9" s="13" t="n">
        <v>35</v>
      </c>
      <c r="E9" s="13" t="n">
        <v>8</v>
      </c>
      <c r="F9" s="13" t="n">
        <v>15</v>
      </c>
      <c r="G9" s="24">
        <f>(D9-E9)/(D9+E9+F9)</f>
        <v/>
      </c>
      <c r="H9" s="14" t="n">
        <v>0.15</v>
      </c>
      <c r="I9" s="25">
        <f>IF(H9&gt;0.6,-15,0)</f>
        <v/>
      </c>
      <c r="J9" s="13" t="n">
        <v>6</v>
      </c>
      <c r="K9" s="13" t="n">
        <v>0</v>
      </c>
      <c r="L9" s="13" t="n">
        <v>12</v>
      </c>
      <c r="M9" s="19">
        <f>MIN(100,MAX(0,50+25*(J9-K9)/L9))</f>
        <v/>
      </c>
      <c r="N9" s="14" t="n">
        <v>0.9</v>
      </c>
      <c r="O9" s="19">
        <f>IF(N9&gt;=0.9,100,IF(N9&gt;=0.75,85,IF(N9&gt;=0.5,65,IF(N9&gt;=0.25,45,IF(N9&gt;0,25,10)))))</f>
        <v/>
      </c>
      <c r="P9" s="14" t="n">
        <v>0.025</v>
      </c>
      <c r="Q9" s="19">
        <f>IF(P9&gt;=0.02,100,IF(P9&gt;=0.01,85,IF(P9&gt;=0.003,65,IF(P9&gt;=-0.003,50,IF(P9&gt;=-0.01,35,15)))))</f>
        <v/>
      </c>
      <c r="R9" s="19">
        <f>0.35*(MIN(100,MAX(0,50+100*G9))+I9)+0.25*M9+0.2*O9+0.2*Q9</f>
        <v/>
      </c>
      <c r="S9" s="19">
        <f>C9*R9</f>
        <v/>
      </c>
    </row>
    <row r="10">
      <c r="A10" s="18">
        <f>'基金持仓'!A10</f>
        <v/>
      </c>
      <c r="B10" s="18">
        <f>'基金持仓'!B10</f>
        <v/>
      </c>
      <c r="C10" s="15">
        <f>'基金持仓'!F10</f>
        <v/>
      </c>
      <c r="D10" s="13" t="n">
        <v>25</v>
      </c>
      <c r="E10" s="13" t="n">
        <v>5</v>
      </c>
      <c r="F10" s="13" t="n">
        <v>10</v>
      </c>
      <c r="G10" s="24">
        <f>(D10-E10)/(D10+E10+F10)</f>
        <v/>
      </c>
      <c r="H10" s="14" t="n">
        <v>0.1</v>
      </c>
      <c r="I10" s="25">
        <f>IF(H10&gt;0.6,-15,0)</f>
        <v/>
      </c>
      <c r="J10" s="13" t="n">
        <v>8</v>
      </c>
      <c r="K10" s="13" t="n">
        <v>0</v>
      </c>
      <c r="L10" s="13" t="n">
        <v>11</v>
      </c>
      <c r="M10" s="19">
        <f>MIN(100,MAX(0,50+25*(J10-K10)/L10))</f>
        <v/>
      </c>
      <c r="N10" s="14" t="n">
        <v>0.95</v>
      </c>
      <c r="O10" s="19">
        <f>IF(N10&gt;=0.9,100,IF(N10&gt;=0.75,85,IF(N10&gt;=0.5,65,IF(N10&gt;=0.25,45,IF(N10&gt;0,25,10)))))</f>
        <v/>
      </c>
      <c r="P10" s="14" t="n">
        <v>0.018</v>
      </c>
      <c r="Q10" s="19">
        <f>IF(P10&gt;=0.02,100,IF(P10&gt;=0.01,85,IF(P10&gt;=0.003,65,IF(P10&gt;=-0.003,50,IF(P10&gt;=-0.01,35,15)))))</f>
        <v/>
      </c>
      <c r="R10" s="19">
        <f>0.35*(MIN(100,MAX(0,50+100*G10))+I10)+0.25*M10+0.2*O10+0.2*Q10</f>
        <v/>
      </c>
      <c r="S10" s="19">
        <f>C10*R10</f>
        <v/>
      </c>
    </row>
    <row r="11">
      <c r="A11" s="18">
        <f>'基金持仓'!A11</f>
        <v/>
      </c>
      <c r="B11" s="18">
        <f>'基金持仓'!B11</f>
        <v/>
      </c>
      <c r="C11" s="15">
        <f>'基金持仓'!F11</f>
        <v/>
      </c>
      <c r="D11" s="13" t="n">
        <v>20</v>
      </c>
      <c r="E11" s="13" t="n">
        <v>22</v>
      </c>
      <c r="F11" s="13" t="n">
        <v>20</v>
      </c>
      <c r="G11" s="24">
        <f>(D11-E11)/(D11+E11+F11)</f>
        <v/>
      </c>
      <c r="H11" s="14" t="n">
        <v>0.4</v>
      </c>
      <c r="I11" s="25">
        <f>IF(H11&gt;0.6,-15,0)</f>
        <v/>
      </c>
      <c r="J11" s="13" t="n">
        <v>4</v>
      </c>
      <c r="K11" s="13" t="n">
        <v>2</v>
      </c>
      <c r="L11" s="13" t="n">
        <v>10</v>
      </c>
      <c r="M11" s="19">
        <f>MIN(100,MAX(0,50+25*(J11-K11)/L11))</f>
        <v/>
      </c>
      <c r="N11" s="14" t="n">
        <v>0.65</v>
      </c>
      <c r="O11" s="19">
        <f>IF(N11&gt;=0.9,100,IF(N11&gt;=0.75,85,IF(N11&gt;=0.5,65,IF(N11&gt;=0.25,45,IF(N11&gt;0,25,10)))))</f>
        <v/>
      </c>
      <c r="P11" s="14" t="n">
        <v>-0.015</v>
      </c>
      <c r="Q11" s="19">
        <f>IF(P11&gt;=0.02,100,IF(P11&gt;=0.01,85,IF(P11&gt;=0.003,65,IF(P11&gt;=-0.003,50,IF(P11&gt;=-0.01,35,15)))))</f>
        <v/>
      </c>
      <c r="R11" s="19">
        <f>0.35*(MIN(100,MAX(0,50+100*G11))+I11)+0.25*M11+0.2*O11+0.2*Q11</f>
        <v/>
      </c>
      <c r="S11" s="19">
        <f>C11*R11</f>
        <v/>
      </c>
    </row>
    <row r="12">
      <c r="A12" s="18">
        <f>'基金持仓'!A12</f>
        <v/>
      </c>
      <c r="B12" s="18">
        <f>'基金持仓'!B12</f>
        <v/>
      </c>
      <c r="C12" s="15">
        <f>'基金持仓'!F12</f>
        <v/>
      </c>
      <c r="D12" s="13" t="n">
        <v>30</v>
      </c>
      <c r="E12" s="13" t="n">
        <v>15</v>
      </c>
      <c r="F12" s="13" t="n">
        <v>25</v>
      </c>
      <c r="G12" s="24">
        <f>(D12-E12)/(D12+E12+F12)</f>
        <v/>
      </c>
      <c r="H12" s="14" t="n">
        <v>0.25</v>
      </c>
      <c r="I12" s="25">
        <f>IF(H12&gt;0.6,-15,0)</f>
        <v/>
      </c>
      <c r="J12" s="13" t="n">
        <v>3</v>
      </c>
      <c r="K12" s="13" t="n">
        <v>1</v>
      </c>
      <c r="L12" s="13" t="n">
        <v>9</v>
      </c>
      <c r="M12" s="19">
        <f>MIN(100,MAX(0,50+25*(J12-K12)/L12))</f>
        <v/>
      </c>
      <c r="N12" s="14" t="n">
        <v>0.55</v>
      </c>
      <c r="O12" s="19">
        <f>IF(N12&gt;=0.9,100,IF(N12&gt;=0.75,85,IF(N12&gt;=0.5,65,IF(N12&gt;=0.25,45,IF(N12&gt;0,25,10)))))</f>
        <v/>
      </c>
      <c r="P12" s="14" t="n">
        <v>0.005</v>
      </c>
      <c r="Q12" s="19">
        <f>IF(P12&gt;=0.02,100,IF(P12&gt;=0.01,85,IF(P12&gt;=0.003,65,IF(P12&gt;=-0.003,50,IF(P12&gt;=-0.01,35,15)))))</f>
        <v/>
      </c>
      <c r="R12" s="19">
        <f>0.35*(MIN(100,MAX(0,50+100*G12))+I12)+0.25*M12+0.2*O12+0.2*Q12</f>
        <v/>
      </c>
      <c r="S12" s="19">
        <f>C12*R12</f>
        <v/>
      </c>
    </row>
    <row r="13">
      <c r="A13" s="22" t="n"/>
      <c r="B13" s="16" t="inlineStr">
        <is>
          <t>M3 综合得分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3">
        <f>SUM(S3:S12)</f>
        <v/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模型4：行业前景与宏观匹配度（默认权重15%）</t>
        </is>
      </c>
    </row>
    <row r="2">
      <c r="A2" s="12" t="inlineStr">
        <is>
          <t>行业</t>
        </is>
      </c>
      <c r="B2" s="12" t="inlineStr">
        <is>
          <t>基金权重</t>
        </is>
      </c>
      <c r="C2" s="12" t="inlineStr">
        <is>
          <t>行业PMI</t>
        </is>
      </c>
      <c r="D2" s="12" t="inlineStr">
        <is>
          <t>PMI得分</t>
        </is>
      </c>
      <c r="E2" s="12" t="inlineStr">
        <is>
          <t>营收增速</t>
        </is>
      </c>
      <c r="F2" s="12" t="inlineStr">
        <is>
          <t>营收增速得分</t>
        </is>
      </c>
      <c r="G2" s="12" t="inlineStr">
        <is>
          <t>ROE趋势</t>
        </is>
      </c>
      <c r="H2" s="12" t="inlineStr">
        <is>
          <t>趋势调整</t>
        </is>
      </c>
      <c r="I2" s="12" t="inlineStr">
        <is>
          <t>定量景气分</t>
        </is>
      </c>
      <c r="J2" s="12" t="inlineStr">
        <is>
          <t>产业周期位置</t>
        </is>
      </c>
      <c r="K2" s="12" t="inlineStr">
        <is>
          <t>周期得分</t>
        </is>
      </c>
      <c r="L2" s="12" t="inlineStr">
        <is>
          <t>景气总分</t>
        </is>
      </c>
      <c r="M2" s="12" t="inlineStr">
        <is>
          <t>政策支持得分</t>
        </is>
      </c>
      <c r="N2" s="12" t="inlineStr">
        <is>
          <t>宏观匹配调整</t>
        </is>
      </c>
      <c r="O2" s="12" t="inlineStr">
        <is>
          <t>行业总分</t>
        </is>
      </c>
      <c r="P2" s="12" t="inlineStr">
        <is>
          <t>加权贡献</t>
        </is>
      </c>
    </row>
    <row r="3">
      <c r="A3" s="13" t="inlineStr">
        <is>
          <t>食品饮料</t>
        </is>
      </c>
      <c r="B3" s="15">
        <f>SUMIF('基金持仓'!D3:D12,A3,'基金持仓'!F3:F12)</f>
        <v/>
      </c>
      <c r="C3" s="20" t="n">
        <v>0.5</v>
      </c>
      <c r="D3" s="19">
        <f>IF(C3&gt;0.55,100,IF(C3&gt;0.5,75,IF(C3&gt;0.45,50,25)))</f>
        <v/>
      </c>
      <c r="E3" s="14" t="n">
        <v>0.12</v>
      </c>
      <c r="F3" s="19">
        <f>IF(E3&gt;=0.3,100,IF(E3&gt;=0.2,85,IF(E3&gt;=0.1,65,IF(E3&gt;=0.05,45,IF(E3&gt;=0,25,10)))))</f>
        <v/>
      </c>
      <c r="G3" s="13" t="n">
        <v>0</v>
      </c>
      <c r="H3" s="25">
        <f>G3*10</f>
        <v/>
      </c>
      <c r="I3" s="19">
        <f>0.6*D3+0.4*F3+H3</f>
        <v/>
      </c>
      <c r="J3" s="13" t="inlineStr">
        <is>
          <t>成熟期</t>
        </is>
      </c>
      <c r="K3" s="19">
        <f>IF(J3="成长期",90,IF(J3="导入期",65,IF(J3="成熟期",55,IF(J3="衰退期",25,50))))</f>
        <v/>
      </c>
      <c r="L3" s="19">
        <f>0.6*I3+0.4*K3</f>
        <v/>
      </c>
      <c r="M3" s="21" t="n">
        <v>75</v>
      </c>
      <c r="N3" s="13" t="n">
        <v>5</v>
      </c>
      <c r="O3" s="19">
        <f>0.45*L3+0.3*M3+0.25*(50+N3)</f>
        <v/>
      </c>
      <c r="P3" s="19">
        <f>B3*O3</f>
        <v/>
      </c>
    </row>
    <row r="4">
      <c r="A4" s="13" t="inlineStr">
        <is>
          <t>电力设备</t>
        </is>
      </c>
      <c r="B4" s="15">
        <f>SUMIF('基金持仓'!D3:D12,A4,'基金持仓'!F3:F12)</f>
        <v/>
      </c>
      <c r="C4" s="20" t="n">
        <v>0.52</v>
      </c>
      <c r="D4" s="19">
        <f>IF(C4&gt;0.55,100,IF(C4&gt;0.5,75,IF(C4&gt;0.45,50,25)))</f>
        <v/>
      </c>
      <c r="E4" s="14" t="n">
        <v>0.08</v>
      </c>
      <c r="F4" s="19">
        <f>IF(E4&gt;=0.3,100,IF(E4&gt;=0.2,85,IF(E4&gt;=0.1,65,IF(E4&gt;=0.05,45,IF(E4&gt;=0,25,10)))))</f>
        <v/>
      </c>
      <c r="G4" s="13" t="n">
        <v>-1</v>
      </c>
      <c r="H4" s="25">
        <f>G4*10</f>
        <v/>
      </c>
      <c r="I4" s="19">
        <f>0.6*D4+0.4*F4+H4</f>
        <v/>
      </c>
      <c r="J4" s="13" t="inlineStr">
        <is>
          <t>成熟期</t>
        </is>
      </c>
      <c r="K4" s="19">
        <f>IF(J4="成长期",90,IF(J4="导入期",65,IF(J4="成熟期",55,IF(J4="衰退期",25,50))))</f>
        <v/>
      </c>
      <c r="L4" s="19">
        <f>0.6*I4+0.4*K4</f>
        <v/>
      </c>
      <c r="M4" s="21" t="n">
        <v>70</v>
      </c>
      <c r="N4" s="13" t="n">
        <v>10</v>
      </c>
      <c r="O4" s="19">
        <f>0.45*L4+0.3*M4+0.25*(50+N4)</f>
        <v/>
      </c>
      <c r="P4" s="19">
        <f>B4*O4</f>
        <v/>
      </c>
    </row>
    <row r="5">
      <c r="A5" s="13" t="inlineStr">
        <is>
          <t>银行</t>
        </is>
      </c>
      <c r="B5" s="15">
        <f>SUMIF('基金持仓'!D3:D12,A5,'基金持仓'!F3:F12)</f>
        <v/>
      </c>
      <c r="C5" s="20" t="n">
        <v>0.51</v>
      </c>
      <c r="D5" s="19">
        <f>IF(C5&gt;0.55,100,IF(C5&gt;0.5,75,IF(C5&gt;0.45,50,25)))</f>
        <v/>
      </c>
      <c r="E5" s="14" t="n">
        <v>0.03</v>
      </c>
      <c r="F5" s="19">
        <f>IF(E5&gt;=0.3,100,IF(E5&gt;=0.2,85,IF(E5&gt;=0.1,65,IF(E5&gt;=0.05,45,IF(E5&gt;=0,25,10)))))</f>
        <v/>
      </c>
      <c r="G5" s="13" t="n">
        <v>1</v>
      </c>
      <c r="H5" s="25">
        <f>G5*10</f>
        <v/>
      </c>
      <c r="I5" s="19">
        <f>0.6*D5+0.4*F5+H5</f>
        <v/>
      </c>
      <c r="J5" s="13" t="inlineStr">
        <is>
          <t>成熟期</t>
        </is>
      </c>
      <c r="K5" s="19">
        <f>IF(J5="成长期",90,IF(J5="导入期",65,IF(J5="成熟期",55,IF(J5="衰退期",25,50))))</f>
        <v/>
      </c>
      <c r="L5" s="19">
        <f>0.6*I5+0.4*K5</f>
        <v/>
      </c>
      <c r="M5" s="21" t="n">
        <v>60</v>
      </c>
      <c r="N5" s="13" t="n">
        <v>15</v>
      </c>
      <c r="O5" s="19">
        <f>0.45*L5+0.3*M5+0.25*(50+N5)</f>
        <v/>
      </c>
      <c r="P5" s="19">
        <f>B5*O5</f>
        <v/>
      </c>
    </row>
    <row r="6">
      <c r="A6" s="13" t="inlineStr">
        <is>
          <t>医药生物</t>
        </is>
      </c>
      <c r="B6" s="15">
        <f>SUMIF('基金持仓'!D3:D12,A6,'基金持仓'!F3:F12)</f>
        <v/>
      </c>
      <c r="C6" s="20" t="n">
        <v>0.48</v>
      </c>
      <c r="D6" s="19">
        <f>IF(C6&gt;0.55,100,IF(C6&gt;0.5,75,IF(C6&gt;0.45,50,25)))</f>
        <v/>
      </c>
      <c r="E6" s="14" t="n">
        <v>0.05</v>
      </c>
      <c r="F6" s="19">
        <f>IF(E6&gt;=0.3,100,IF(E6&gt;=0.2,85,IF(E6&gt;=0.1,65,IF(E6&gt;=0.05,45,IF(E6&gt;=0,25,10)))))</f>
        <v/>
      </c>
      <c r="G6" s="13" t="n">
        <v>0</v>
      </c>
      <c r="H6" s="25">
        <f>G6*10</f>
        <v/>
      </c>
      <c r="I6" s="19">
        <f>0.6*D6+0.4*F6+H6</f>
        <v/>
      </c>
      <c r="J6" s="13" t="inlineStr">
        <is>
          <t>成长期</t>
        </is>
      </c>
      <c r="K6" s="19">
        <f>IF(J6="成长期",90,IF(J6="导入期",65,IF(J6="成熟期",55,IF(J6="衰退期",25,50))))</f>
        <v/>
      </c>
      <c r="L6" s="19">
        <f>0.6*I6+0.4*K6</f>
        <v/>
      </c>
      <c r="M6" s="21" t="n">
        <v>80</v>
      </c>
      <c r="N6" s="13" t="n">
        <v>-5</v>
      </c>
      <c r="O6" s="19">
        <f>0.45*L6+0.3*M6+0.25*(50+N6)</f>
        <v/>
      </c>
      <c r="P6" s="19">
        <f>B6*O6</f>
        <v/>
      </c>
    </row>
    <row r="7">
      <c r="A7" s="13" t="inlineStr">
        <is>
          <t>电子</t>
        </is>
      </c>
      <c r="B7" s="15">
        <f>SUMIF('基金持仓'!D3:D12,A7,'基金持仓'!F3:F12)</f>
        <v/>
      </c>
      <c r="C7" s="20" t="n">
        <v>0.53</v>
      </c>
      <c r="D7" s="19">
        <f>IF(C7&gt;0.55,100,IF(C7&gt;0.5,75,IF(C7&gt;0.45,50,25)))</f>
        <v/>
      </c>
      <c r="E7" s="14" t="n">
        <v>0.1</v>
      </c>
      <c r="F7" s="19">
        <f>IF(E7&gt;=0.3,100,IF(E7&gt;=0.2,85,IF(E7&gt;=0.1,65,IF(E7&gt;=0.05,45,IF(E7&gt;=0,25,10)))))</f>
        <v/>
      </c>
      <c r="G7" s="13" t="n">
        <v>1</v>
      </c>
      <c r="H7" s="25">
        <f>G7*10</f>
        <v/>
      </c>
      <c r="I7" s="19">
        <f>0.6*D7+0.4*F7+H7</f>
        <v/>
      </c>
      <c r="J7" s="13" t="inlineStr">
        <is>
          <t>成长期</t>
        </is>
      </c>
      <c r="K7" s="19">
        <f>IF(J7="成长期",90,IF(J7="导入期",65,IF(J7="成熟期",55,IF(J7="衰退期",25,50))))</f>
        <v/>
      </c>
      <c r="L7" s="19">
        <f>0.6*I7+0.4*K7</f>
        <v/>
      </c>
      <c r="M7" s="21" t="n">
        <v>65</v>
      </c>
      <c r="N7" s="13" t="n">
        <v>0</v>
      </c>
      <c r="O7" s="19">
        <f>0.45*L7+0.3*M7+0.25*(50+N7)</f>
        <v/>
      </c>
      <c r="P7" s="19">
        <f>B7*O7</f>
        <v/>
      </c>
    </row>
    <row r="8">
      <c r="A8" s="13" t="inlineStr">
        <is>
          <t>计算机</t>
        </is>
      </c>
      <c r="B8" s="15">
        <f>SUMIF('基金持仓'!D3:D12,A8,'基金持仓'!F3:F12)</f>
        <v/>
      </c>
      <c r="C8" s="20" t="n">
        <v>0.55</v>
      </c>
      <c r="D8" s="19">
        <f>IF(C8&gt;0.55,100,IF(C8&gt;0.5,75,IF(C8&gt;0.45,50,25)))</f>
        <v/>
      </c>
      <c r="E8" s="14" t="n">
        <v>0.15</v>
      </c>
      <c r="F8" s="19">
        <f>IF(E8&gt;=0.3,100,IF(E8&gt;=0.2,85,IF(E8&gt;=0.1,65,IF(E8&gt;=0.05,45,IF(E8&gt;=0,25,10)))))</f>
        <v/>
      </c>
      <c r="G8" s="13" t="n">
        <v>0</v>
      </c>
      <c r="H8" s="25">
        <f>G8*10</f>
        <v/>
      </c>
      <c r="I8" s="19">
        <f>0.6*D8+0.4*F8+H8</f>
        <v/>
      </c>
      <c r="J8" s="13" t="inlineStr">
        <is>
          <t>成长期</t>
        </is>
      </c>
      <c r="K8" s="19">
        <f>IF(J8="成长期",90,IF(J8="导入期",65,IF(J8="成熟期",55,IF(J8="衰退期",25,50))))</f>
        <v/>
      </c>
      <c r="L8" s="19">
        <f>0.6*I8+0.4*K8</f>
        <v/>
      </c>
      <c r="M8" s="21" t="n">
        <v>85</v>
      </c>
      <c r="N8" s="13" t="n">
        <v>-10</v>
      </c>
      <c r="O8" s="19">
        <f>0.45*L8+0.3*M8+0.25*(50+N8)</f>
        <v/>
      </c>
      <c r="P8" s="19">
        <f>B8*O8</f>
        <v/>
      </c>
    </row>
    <row r="9">
      <c r="A9" s="16" t="inlineStr">
        <is>
          <t>M4 综合得分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3">
        <f>SUM(P3:P8)</f>
        <v/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2" customWidth="1" min="5" max="5"/>
    <col width="40" customWidth="1" min="6" max="6"/>
  </cols>
  <sheetData>
    <row r="1">
      <c r="A1" s="2" t="inlineStr">
        <is>
          <t>模型5：基金经理行为一致性（默认权重15%）</t>
        </is>
      </c>
    </row>
    <row r="2">
      <c r="A2" s="12" t="inlineStr">
        <is>
          <t>评估维度</t>
        </is>
      </c>
      <c r="B2" s="12" t="inlineStr">
        <is>
          <t>数值</t>
        </is>
      </c>
      <c r="C2" s="12" t="inlineStr">
        <is>
          <t>得分</t>
        </is>
      </c>
      <c r="D2" s="12" t="inlineStr">
        <is>
          <t>权重</t>
        </is>
      </c>
      <c r="E2" s="12" t="inlineStr">
        <is>
          <t>加权得分</t>
        </is>
      </c>
      <c r="F2" s="12" t="inlineStr">
        <is>
          <t>说明</t>
        </is>
      </c>
    </row>
    <row r="3">
      <c r="A3" s="26" t="inlineStr">
        <is>
          <t>风格标签变化次数(近4季)</t>
        </is>
      </c>
      <c r="B3" s="27" t="n">
        <v>1</v>
      </c>
      <c r="C3" s="28">
        <f>MAX(0,100-25*B3)</f>
        <v/>
      </c>
      <c r="D3" s="6" t="n">
        <v>0.3</v>
      </c>
      <c r="E3" s="28">
        <f>C3*D3</f>
        <v/>
      </c>
      <c r="F3" s="26" t="inlineStr">
        <is>
          <t>100-25×变化次数</t>
        </is>
      </c>
    </row>
    <row r="4">
      <c r="A4" s="26" t="inlineStr">
        <is>
          <t>年化换手率</t>
        </is>
      </c>
      <c r="B4" s="6" t="n">
        <v>0.85</v>
      </c>
      <c r="C4" s="28">
        <f>IF(B4&lt;1,100,IF(B4&lt;2,80,IF(B4&lt;4,55,IF(B4&lt;6,30,10))))</f>
        <v/>
      </c>
      <c r="D4" s="6" t="n">
        <v>0.15</v>
      </c>
      <c r="E4" s="28">
        <f>C4*D4</f>
        <v/>
      </c>
      <c r="F4" s="26" t="inlineStr">
        <is>
          <t>&lt;100%=100, 100-200%=80, 200-400%=55</t>
        </is>
      </c>
    </row>
    <row r="5">
      <c r="A5" s="26" t="inlineStr">
        <is>
          <t>正确调仓次数/总调仓</t>
        </is>
      </c>
      <c r="B5" s="27" t="n">
        <v>0.62</v>
      </c>
      <c r="C5" s="28">
        <f>MIN(100,MAX(0,50+50*(2*B5-1)))</f>
        <v/>
      </c>
      <c r="D5" s="6" t="n">
        <v>0.15</v>
      </c>
      <c r="E5" s="28">
        <f>C5*D5</f>
        <v/>
      </c>
      <c r="F5" s="26" t="inlineStr">
        <is>
          <t>50+50×(2×正确率-1)</t>
        </is>
      </c>
    </row>
    <row r="6">
      <c r="A6" s="26" t="inlineStr">
        <is>
          <t>言行不匹配次数</t>
        </is>
      </c>
      <c r="B6" s="27" t="n">
        <v>2</v>
      </c>
      <c r="C6" s="28">
        <f>MAX(0,100-20*B6)</f>
        <v/>
      </c>
      <c r="D6" s="6" t="n">
        <v>0.25</v>
      </c>
      <c r="E6" s="28">
        <f>C6*D6</f>
        <v/>
      </c>
      <c r="F6" s="26" t="inlineStr">
        <is>
          <t>100-20×不匹配次数</t>
        </is>
      </c>
    </row>
    <row r="7">
      <c r="A7" s="26" t="inlineStr">
        <is>
          <t>IR(信息比率)</t>
        </is>
      </c>
      <c r="B7" s="6" t="n">
        <v>0.45</v>
      </c>
      <c r="C7" s="28">
        <f>MIN(100,MAX(0,50+50*(B7-0.2)/(0.8-0.2)))</f>
        <v/>
      </c>
      <c r="D7" s="6" t="n">
        <v>0.15</v>
      </c>
      <c r="E7" s="28">
        <f>C7*D7</f>
        <v/>
      </c>
      <c r="F7" s="26" t="inlineStr">
        <is>
          <t>相对同类IR映射</t>
        </is>
      </c>
    </row>
    <row r="8">
      <c r="A8" s="16" t="inlineStr">
        <is>
          <t>M5 综合得分</t>
        </is>
      </c>
      <c r="B8" s="22" t="n"/>
      <c r="C8" s="22" t="n"/>
      <c r="D8" s="22" t="n"/>
      <c r="E8" s="23">
        <f>SUM(E3:E7)</f>
        <v/>
      </c>
      <c r="F8" s="2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动态权重调整引擎</t>
        </is>
      </c>
    </row>
    <row r="3">
      <c r="A3" s="2" t="inlineStr">
        <is>
          <t>市场环境识别</t>
        </is>
      </c>
    </row>
    <row r="4">
      <c r="A4" s="12" t="inlineStr">
        <is>
          <t>信号</t>
        </is>
      </c>
      <c r="B4" s="12" t="inlineStr">
        <is>
          <t>当前值</t>
        </is>
      </c>
      <c r="C4" s="12" t="inlineStr">
        <is>
          <t>判断结果</t>
        </is>
      </c>
      <c r="D4" s="12" t="inlineStr">
        <is>
          <t>说明</t>
        </is>
      </c>
    </row>
    <row r="5">
      <c r="A5" s="5" t="inlineStr">
        <is>
          <t>CSI300 PE分位数</t>
        </is>
      </c>
      <c r="B5" s="29">
        <f>'假设区'!B3</f>
        <v/>
      </c>
      <c r="C5" s="5">
        <f>IF(B5&gt;0.7,"高估",IF(B5&lt;0.3,"低估","中等"))</f>
        <v/>
      </c>
      <c r="D5" s="26" t="inlineStr">
        <is>
          <t>PE分位数&gt;70%=牛市信号</t>
        </is>
      </c>
    </row>
    <row r="6">
      <c r="A6" s="5" t="inlineStr">
        <is>
          <t>60日/200日均线</t>
        </is>
      </c>
      <c r="B6" s="29">
        <f>'假设区'!B8</f>
        <v/>
      </c>
      <c r="C6" s="5">
        <f>IF(B6&gt;1.03,"多头排列",IF(B6&lt;0.97,"空头排列","震荡"))</f>
        <v/>
      </c>
      <c r="D6" s="26" t="inlineStr">
        <is>
          <t>&gt;1.03多头，&lt;0.97空头</t>
        </is>
      </c>
    </row>
    <row r="7">
      <c r="A7" s="5" t="inlineStr">
        <is>
          <t>波动率分位数</t>
        </is>
      </c>
      <c r="B7" s="29">
        <f>'假设区'!B7</f>
        <v/>
      </c>
      <c r="C7" s="5">
        <f>IF(B7&gt;0.75,"高波动",IF(B7&lt;0.25,"低波动","正常"))</f>
        <v/>
      </c>
      <c r="D7" s="26" t="inlineStr">
        <is>
          <t>&gt;75%=高不确定性</t>
        </is>
      </c>
    </row>
    <row r="8">
      <c r="A8" s="5" t="inlineStr">
        <is>
          <t>EPU分位数</t>
        </is>
      </c>
      <c r="B8" s="29">
        <f>'假设区'!B6</f>
        <v/>
      </c>
      <c r="C8" s="5">
        <f>IF(B8&gt;0.8,"高不确定性","正常")</f>
        <v/>
      </c>
      <c r="D8" s="26" t="inlineStr">
        <is>
          <t>&gt;80%=高不确定性</t>
        </is>
      </c>
    </row>
    <row r="10">
      <c r="A10" s="30" t="inlineStr">
        <is>
          <t>判定市场环境</t>
        </is>
      </c>
      <c r="B10" s="5">
        <f>IF(OR(B8="高不确定性",B7="高波动"),"高不确定性",IF(AND(B5="高估",B6="多头排列"),"牛市",IF(AND(B5="低估",B6="空头排列"),"熊市",IF(B6="震荡","震荡市","正常"))))</f>
        <v/>
      </c>
      <c r="C10" s="5" t="inlineStr">
        <is>
          <t>当前市场环境</t>
        </is>
      </c>
    </row>
    <row r="12">
      <c r="A12" s="2" t="inlineStr">
        <is>
          <t>权重矩阵</t>
        </is>
      </c>
    </row>
    <row r="13">
      <c r="A13" s="12" t="inlineStr">
        <is>
          <t>市场环境</t>
        </is>
      </c>
      <c r="B13" s="12" t="inlineStr">
        <is>
          <t>M1个股质量</t>
        </is>
      </c>
      <c r="C13" s="12" t="inlineStr">
        <is>
          <t>M2估值</t>
        </is>
      </c>
      <c r="D13" s="12" t="inlineStr">
        <is>
          <t>M3舆情</t>
        </is>
      </c>
      <c r="E13" s="12" t="inlineStr">
        <is>
          <t>M4行业</t>
        </is>
      </c>
      <c r="F13" s="12" t="inlineStr">
        <is>
          <t>M5经理</t>
        </is>
      </c>
    </row>
    <row r="14">
      <c r="A14" s="31" t="inlineStr">
        <is>
          <t>正常</t>
        </is>
      </c>
      <c r="B14" s="6" t="n">
        <v>0.25</v>
      </c>
      <c r="C14" s="6" t="n">
        <v>0.25</v>
      </c>
      <c r="D14" s="6" t="n">
        <v>0.2</v>
      </c>
      <c r="E14" s="6" t="n">
        <v>0.15</v>
      </c>
      <c r="F14" s="6" t="n">
        <v>0.15</v>
      </c>
    </row>
    <row r="15">
      <c r="A15" s="31" t="inlineStr">
        <is>
          <t>牛市</t>
        </is>
      </c>
      <c r="B15" s="6" t="n">
        <v>0.15</v>
      </c>
      <c r="C15" s="6" t="n">
        <v>0.35</v>
      </c>
      <c r="D15" s="6" t="n">
        <v>0.15</v>
      </c>
      <c r="E15" s="6" t="n">
        <v>0.2</v>
      </c>
      <c r="F15" s="6" t="n">
        <v>0.15</v>
      </c>
    </row>
    <row r="16">
      <c r="A16" s="31" t="inlineStr">
        <is>
          <t>熊市</t>
        </is>
      </c>
      <c r="B16" s="6" t="n">
        <v>0.3</v>
      </c>
      <c r="C16" s="6" t="n">
        <v>0.2</v>
      </c>
      <c r="D16" s="6" t="n">
        <v>0.15</v>
      </c>
      <c r="E16" s="6" t="n">
        <v>0.2</v>
      </c>
      <c r="F16" s="6" t="n">
        <v>0.15</v>
      </c>
    </row>
    <row r="17">
      <c r="A17" s="31" t="inlineStr">
        <is>
          <t>震荡市</t>
        </is>
      </c>
      <c r="B17" s="6" t="n">
        <v>0.25</v>
      </c>
      <c r="C17" s="6" t="n">
        <v>0.2</v>
      </c>
      <c r="D17" s="6" t="n">
        <v>0.2</v>
      </c>
      <c r="E17" s="6" t="n">
        <v>0.2</v>
      </c>
      <c r="F17" s="6" t="n">
        <v>0.15</v>
      </c>
    </row>
    <row r="18">
      <c r="A18" s="31" t="inlineStr">
        <is>
          <t>高不确定性</t>
        </is>
      </c>
      <c r="B18" s="6" t="n">
        <v>0.2</v>
      </c>
      <c r="C18" s="6" t="n">
        <v>0.25</v>
      </c>
      <c r="D18" s="6" t="n">
        <v>0.15</v>
      </c>
      <c r="E18" s="6" t="n">
        <v>0.3</v>
      </c>
      <c r="F18" s="6" t="n">
        <v>0.1</v>
      </c>
    </row>
    <row r="20">
      <c r="A20" s="2" t="inlineStr">
        <is>
          <t>当前有效权重（VLOOKUP匹配）</t>
        </is>
      </c>
    </row>
    <row r="21">
      <c r="A21" s="12" t="inlineStr">
        <is>
          <t>模型</t>
        </is>
      </c>
      <c r="B21" s="12" t="inlineStr">
        <is>
          <t>目标权重</t>
        </is>
      </c>
      <c r="C21" s="12" t="inlineStr">
        <is>
          <t>前值权重</t>
        </is>
      </c>
      <c r="D21" s="12" t="inlineStr">
        <is>
          <t>平滑后权重</t>
        </is>
      </c>
    </row>
    <row r="22">
      <c r="A22" s="30" t="inlineStr">
        <is>
          <t>M1</t>
        </is>
      </c>
      <c r="B22" s="32">
        <f>VLOOKUP(B10,$A$14:$F$18,2,FALSE)</f>
        <v/>
      </c>
      <c r="C22" s="29">
        <f>'假设区'!B14</f>
        <v/>
      </c>
      <c r="D22" s="32">
        <f>0.7*B22+0.3*C22</f>
        <v/>
      </c>
    </row>
    <row r="23">
      <c r="A23" s="30" t="inlineStr">
        <is>
          <t>M2</t>
        </is>
      </c>
      <c r="B23" s="32">
        <f>VLOOKUP(B10,$A$14:$F$18,3,FALSE)</f>
        <v/>
      </c>
      <c r="C23" s="29">
        <f>'假设区'!B15</f>
        <v/>
      </c>
      <c r="D23" s="32">
        <f>0.7*B23+0.3*C23</f>
        <v/>
      </c>
    </row>
    <row r="24">
      <c r="A24" s="30" t="inlineStr">
        <is>
          <t>M3</t>
        </is>
      </c>
      <c r="B24" s="32">
        <f>VLOOKUP(B10,$A$14:$F$18,4,FALSE)</f>
        <v/>
      </c>
      <c r="C24" s="29">
        <f>'假设区'!B16</f>
        <v/>
      </c>
      <c r="D24" s="32">
        <f>0.7*B24+0.3*C24</f>
        <v/>
      </c>
    </row>
    <row r="25">
      <c r="A25" s="30" t="inlineStr">
        <is>
          <t>M4</t>
        </is>
      </c>
      <c r="B25" s="32">
        <f>VLOOKUP(B10,$A$14:$F$18,5,FALSE)</f>
        <v/>
      </c>
      <c r="C25" s="29">
        <f>'假设区'!B17</f>
        <v/>
      </c>
      <c r="D25" s="32">
        <f>0.7*B25+0.3*C25</f>
        <v/>
      </c>
    </row>
    <row r="26">
      <c r="A26" s="30" t="inlineStr">
        <is>
          <t>M5</t>
        </is>
      </c>
      <c r="B26" s="32">
        <f>VLOOKUP(B10,$A$14:$F$18,6,FALSE)</f>
        <v/>
      </c>
      <c r="C26" s="29">
        <f>'假设区'!B18</f>
        <v/>
      </c>
      <c r="D26" s="32">
        <f>0.7*B26+0.3*C26</f>
        <v/>
      </c>
    </row>
  </sheetData>
  <mergeCells count="4">
    <mergeCell ref="A20:G20"/>
    <mergeCell ref="A3:G3"/>
    <mergeCell ref="A1:G1"/>
    <mergeCell ref="A12:G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3" t="inlineStr">
        <is>
          <t>AI多因子透视诊断 — 综合输出</t>
        </is>
      </c>
    </row>
    <row r="3">
      <c r="A3" s="2" t="inlineStr">
        <is>
          <t>基金名称</t>
        </is>
      </c>
      <c r="C3" s="34" t="inlineStr">
        <is>
          <t>示例基金（华夏成长混合）</t>
        </is>
      </c>
    </row>
    <row r="4">
      <c r="A4" s="2" t="inlineStr">
        <is>
          <t>分析日期</t>
        </is>
      </c>
      <c r="C4" s="34" t="inlineStr">
        <is>
          <t>2026-05-23</t>
        </is>
      </c>
    </row>
    <row r="5">
      <c r="A5" s="2" t="inlineStr">
        <is>
          <t>市场环境</t>
        </is>
      </c>
      <c r="C5" s="35">
        <f>'动态权重'!B10</f>
        <v/>
      </c>
    </row>
    <row r="7">
      <c r="A7" s="2" t="inlineStr">
        <is>
          <t>综合评分</t>
        </is>
      </c>
    </row>
    <row r="8">
      <c r="A8" s="4" t="inlineStr">
        <is>
          <t>综合评分</t>
        </is>
      </c>
      <c r="B8" s="4" t="inlineStr">
        <is>
          <t>评分等级</t>
        </is>
      </c>
      <c r="C8" s="4" t="inlineStr">
        <is>
          <t>操作建议基调</t>
        </is>
      </c>
    </row>
    <row r="9">
      <c r="A9" s="36">
        <f>'动态权重'!D22*'M1_个股质量评分'!AB13+'动态权重'!D23*'M2_估值评分'!U13+'动态权重'!D24*'M3_舆情评分'!S13+'动态权重'!D25*'M4_行业景气'!P9+'动态权重'!D26*'M5_经理行为'!E7</f>
        <v/>
      </c>
      <c r="B9" s="37">
        <f>IF(A9&gt;=80,"优秀 ⭐⭐⭐⭐⭐",IF(A9&gt;=70,"良好 ⭐⭐⭐⭐",IF(A9&gt;=55,"一般 ⭐⭐⭐",IF(A9&gt;=40,"较低 ⭐⭐","差 ⭐"))))</f>
        <v/>
      </c>
      <c r="C9" s="38">
        <f>IF(A9&gt;=80,"适合作为核心配置",IF(A9&gt;=70,"可持有，关注风险点",IF(A9&gt;=55,"观望，等待更好时机",IF(A9&gt;=40,"建议减仓或寻找替代品","强烈建议回避"))))</f>
        <v/>
      </c>
    </row>
    <row r="12">
      <c r="A12" s="2" t="inlineStr">
        <is>
          <t>五维度评分明细</t>
        </is>
      </c>
    </row>
    <row r="13">
      <c r="A13" s="12" t="inlineStr">
        <is>
          <t>评估维度</t>
        </is>
      </c>
      <c r="B13" s="12" t="inlineStr">
        <is>
          <t>评分</t>
        </is>
      </c>
      <c r="C13" s="12" t="inlineStr">
        <is>
          <t>有效权重</t>
        </is>
      </c>
      <c r="D13" s="12" t="inlineStr">
        <is>
          <t>加权贡献</t>
        </is>
      </c>
      <c r="E13" s="12" t="inlineStr">
        <is>
          <t>简评</t>
        </is>
      </c>
    </row>
    <row r="14">
      <c r="A14" s="30" t="inlineStr">
        <is>
          <t>M1 个股质量</t>
        </is>
      </c>
      <c r="B14" s="39" t="inlineStr">
        <is>
          <t>'M1_个股质量评分'!AB13</t>
        </is>
      </c>
      <c r="C14" s="29">
        <f>'动态权重'!D22</f>
        <v/>
      </c>
      <c r="D14" s="28">
        <f>B14*C14</f>
        <v/>
      </c>
      <c r="E14" s="26" t="inlineStr">
        <is>
          <t>重仓股以行业龙头为主，ROE中位数18%</t>
        </is>
      </c>
    </row>
    <row r="15">
      <c r="A15" s="30" t="inlineStr">
        <is>
          <t>M2 估值性价比</t>
        </is>
      </c>
      <c r="B15" s="39" t="inlineStr">
        <is>
          <t>'M2_估值评分'!U13</t>
        </is>
      </c>
      <c r="C15" s="29">
        <f>'动态权重'!D23</f>
        <v/>
      </c>
      <c r="D15" s="28">
        <f>B15*C15</f>
        <v/>
      </c>
      <c r="E15" s="26" t="inlineStr">
        <is>
          <t>持仓加权PE分位数偏高，需关注估值风险</t>
        </is>
      </c>
    </row>
    <row r="16">
      <c r="A16" s="30" t="inlineStr">
        <is>
          <t>M3 新闻舆情</t>
        </is>
      </c>
      <c r="B16" s="39" t="inlineStr">
        <is>
          <t>'M3_舆情评分'!S13</t>
        </is>
      </c>
      <c r="C16" s="29">
        <f>'动态权重'!D24</f>
        <v/>
      </c>
      <c r="D16" s="28">
        <f>B16*C16</f>
        <v/>
      </c>
      <c r="E16" s="26" t="inlineStr">
        <is>
          <t>近期机构调研增加，舆情偏正面</t>
        </is>
      </c>
    </row>
    <row r="17">
      <c r="A17" s="30" t="inlineStr">
        <is>
          <t>M4 行业景气</t>
        </is>
      </c>
      <c r="B17" s="39" t="inlineStr">
        <is>
          <t>'M4_行业景气'!P9</t>
        </is>
      </c>
      <c r="C17" s="29">
        <f>'动态权重'!D25</f>
        <v/>
      </c>
      <c r="D17" s="28">
        <f>B17*C17</f>
        <v/>
      </c>
      <c r="E17" s="26" t="inlineStr">
        <is>
          <t>持仓行业整体景气度中等，政策面偏暖</t>
        </is>
      </c>
    </row>
    <row r="18">
      <c r="A18" s="30" t="inlineStr">
        <is>
          <t>M5 经理行为</t>
        </is>
      </c>
      <c r="B18" s="39" t="inlineStr">
        <is>
          <t>'M5_经理行为'!E7</t>
        </is>
      </c>
      <c r="C18" s="29">
        <f>'动态权重'!D26</f>
        <v/>
      </c>
      <c r="D18" s="28">
        <f>B18*C18</f>
        <v/>
      </c>
      <c r="E18" s="26" t="inlineStr">
        <is>
          <t>基金经理风格稳定，调仓节奏合理</t>
        </is>
      </c>
    </row>
    <row r="20">
      <c r="A20" s="2" t="inlineStr">
        <is>
          <t>雷达图数据（供图表使用）</t>
        </is>
      </c>
    </row>
    <row r="21">
      <c r="A21" s="12" t="inlineStr">
        <is>
          <t>M1</t>
        </is>
      </c>
      <c r="B21" s="12" t="inlineStr">
        <is>
          <t>M2</t>
        </is>
      </c>
      <c r="C21" s="12" t="inlineStr">
        <is>
          <t>M3</t>
        </is>
      </c>
      <c r="D21" s="12" t="inlineStr">
        <is>
          <t>M4</t>
        </is>
      </c>
      <c r="E21" s="12" t="inlineStr">
        <is>
          <t>M5</t>
        </is>
      </c>
      <c r="F21" s="12" t="inlineStr">
        <is>
          <t>综合</t>
        </is>
      </c>
    </row>
    <row r="22">
      <c r="A22" s="40">
        <f>B14</f>
        <v/>
      </c>
      <c r="B22" s="40">
        <f>B15</f>
        <v/>
      </c>
      <c r="C22" s="40">
        <f>B16</f>
        <v/>
      </c>
      <c r="D22" s="40">
        <f>B17</f>
        <v/>
      </c>
      <c r="E22" s="40">
        <f>B18</f>
        <v/>
      </c>
      <c r="F22" s="40">
        <f>A9</f>
        <v/>
      </c>
    </row>
    <row r="24">
      <c r="A24" s="2" t="inlineStr">
        <is>
          <t>最终建议</t>
        </is>
      </c>
    </row>
    <row r="25">
      <c r="A25" s="41" t="inlineStr">
        <is>
          <t>操作建议</t>
        </is>
      </c>
      <c r="B25" s="41" t="inlineStr">
        <is>
          <t>核心理由</t>
        </is>
      </c>
    </row>
    <row r="26">
      <c r="A26" s="42">
        <f>IF(A9&gt;=80,"持有/加仓",IF(A9&gt;=70,"持有",IF(A9&gt;=55,"观望/分批调整",IF(A9&gt;=40,"减仓","卖出"))))</f>
        <v/>
      </c>
      <c r="B26" s="43">
        <f>IF(A9&gt;=80,"持仓公司质量优秀，估值合理，适合作为核心资产配置",IF(A9&gt;=70,"持仓质量较好但部分估值偏高，可持有观察",IF(A9&gt;=55,"持仓优劣参半，建议等待更好的入场时机",IF(A9&gt;=40,"持仓整体质量偏低或估值过高，建议逐步减仓","持仓质量与估值均不理想，建议回避"))))</f>
        <v/>
      </c>
    </row>
    <row r="28">
      <c r="A28" s="2" t="inlineStr">
        <is>
          <t>需关注的风险点</t>
        </is>
      </c>
    </row>
    <row r="29">
      <c r="A29" s="44" t="inlineStr">
        <is>
          <t>1. PE分位数若继续上行至85%以上，建议减仓</t>
        </is>
      </c>
    </row>
    <row r="30">
      <c r="A30" s="44" t="inlineStr">
        <is>
          <t>2. 关注前三大重仓股下季度财报增速是否放缓</t>
        </is>
      </c>
    </row>
    <row r="31">
      <c r="A31" s="44" t="inlineStr">
        <is>
          <t>3. 若市场环境切换为"高不确定性"，需重新评估行业配置</t>
        </is>
      </c>
    </row>
    <row r="32">
      <c r="A32" s="44" t="inlineStr">
        <is>
          <t>4. 基金经理若出现风格漂移（标签变化≥2次），需警惕</t>
        </is>
      </c>
    </row>
  </sheetData>
  <mergeCells count="9">
    <mergeCell ref="A4:B4"/>
    <mergeCell ref="A12:H12"/>
    <mergeCell ref="A7:H7"/>
    <mergeCell ref="A20:H20"/>
    <mergeCell ref="A24:H24"/>
    <mergeCell ref="A5:B5"/>
    <mergeCell ref="A28:H28"/>
    <mergeCell ref="A1:H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2026-05-23T11:32:56Z</dcterms:created>
  <dcterms:modified xmlns:dcterms="http://purl.org/dc/terms/" xmlns:xsi="http://www.w3.org/2001/XMLSchema-instance" xsi:type="dcterms:W3CDTF">2026-05-23T11:32:56Z</dcterms:modified>
</cp:coreProperties>
</file>